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1.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5.xml" ContentType="application/vnd.openxmlformats-officedocument.spreadsheetml.comments+xml"/>
  <Override PartName="/xl/threadedComments/threadedComment5.xml" ContentType="application/vnd.ms-excel.threadedcomments+xml"/>
  <Override PartName="/xl/drawings/drawing2.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f64451535891f4cb/Desktop/MASTER DATA (MBDA)/ASIGNATURAS/1-CONCPTOS BÁSICOS (Lluís Riera)/ENTREGA/"/>
    </mc:Choice>
  </mc:AlternateContent>
  <xr:revisionPtr revIDLastSave="4337" documentId="13_ncr:1_{45D8EA50-13D6-4D30-BBB5-5644CC1FB592}" xr6:coauthVersionLast="47" xr6:coauthVersionMax="47" xr10:uidLastSave="{789ED735-307A-4C83-AD81-9C6CB08D5ECC}"/>
  <bookViews>
    <workbookView xWindow="-110" yWindow="-110" windowWidth="19420" windowHeight="10420" firstSheet="7" activeTab="8" xr2:uid="{00000000-000D-0000-FFFF-FFFF00000000}"/>
  </bookViews>
  <sheets>
    <sheet name="1-Players" sheetId="1" r:id="rId1"/>
    <sheet name="2-DATASET" sheetId="10" r:id="rId2"/>
    <sheet name="3-Mins_Played_1Q" sheetId="4" r:id="rId3"/>
    <sheet name="4-BOXSCORE_1Q" sheetId="15" r:id="rId4"/>
    <sheet name="5-BOXSCORE_FULL_GAME" sheetId="12" r:id="rId5"/>
    <sheet name="6-MARCADOR_1Q" sheetId="17" r:id="rId6"/>
    <sheet name="7-MARCADOR_FINAL" sheetId="20" r:id="rId7"/>
    <sheet name="8-Metricas_Avanzadas" sheetId="21" r:id="rId8"/>
    <sheet name="9-Dashboard" sheetId="22" r:id="rId9"/>
  </sheets>
  <definedNames>
    <definedName name="_xlnm._FilterDatabase" localSheetId="1" hidden="1">'2-DATASET'!$C$1:$AC$242</definedName>
    <definedName name="_xlnm._FilterDatabase" localSheetId="5" hidden="1">'6-MARCADOR_1Q'!$C$1:$M$179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9" i="21" l="1"/>
  <c r="AF20" i="21"/>
  <c r="AF21" i="21"/>
  <c r="AF22" i="21"/>
  <c r="AF23" i="21"/>
  <c r="AF24" i="21"/>
  <c r="AF25" i="21"/>
  <c r="AF26" i="21"/>
  <c r="AF27" i="21"/>
  <c r="AF28" i="21"/>
  <c r="AF29" i="21"/>
  <c r="AF30" i="21"/>
  <c r="AF31" i="21"/>
  <c r="AF18" i="21"/>
  <c r="AF2" i="21"/>
  <c r="AF15" i="21"/>
  <c r="AF14" i="21"/>
  <c r="AC16" i="21"/>
  <c r="AC15" i="21"/>
  <c r="AC13" i="21"/>
  <c r="AC14" i="21"/>
  <c r="AC2" i="21"/>
  <c r="AC3" i="21"/>
  <c r="AF10" i="21"/>
  <c r="AF11" i="21"/>
  <c r="AF12" i="21"/>
  <c r="AF13" i="21"/>
  <c r="AD4" i="21"/>
  <c r="AD5" i="21"/>
  <c r="AD6" i="21"/>
  <c r="AD7" i="21"/>
  <c r="AD8" i="21"/>
  <c r="AD9" i="21"/>
  <c r="AD10" i="21"/>
  <c r="AD11" i="21"/>
  <c r="AD12" i="21"/>
  <c r="AD13" i="21"/>
  <c r="AD2" i="21"/>
  <c r="AD18" i="21"/>
  <c r="L14" i="10" a="1"/>
  <c r="L14" i="10" s="1"/>
  <c r="R14" i="10"/>
  <c r="AJ7" i="21"/>
  <c r="AJ8" i="21"/>
  <c r="AJ9" i="21"/>
  <c r="AJ10" i="21"/>
  <c r="AJ11" i="21"/>
  <c r="AJ12" i="21"/>
  <c r="AJ13" i="21"/>
  <c r="AJ14" i="21"/>
  <c r="AJ15" i="21"/>
  <c r="R3" i="10"/>
  <c r="R4" i="10"/>
  <c r="R5" i="10"/>
  <c r="R6" i="10"/>
  <c r="R7" i="10"/>
  <c r="R8" i="10"/>
  <c r="R9" i="10"/>
  <c r="R10" i="10"/>
  <c r="R11" i="10"/>
  <c r="R12" i="10"/>
  <c r="R13" i="10"/>
  <c r="R15" i="10"/>
  <c r="R16" i="10"/>
  <c r="R17" i="10"/>
  <c r="R18" i="10"/>
  <c r="R19" i="10"/>
  <c r="R20" i="10"/>
  <c r="R21" i="10"/>
  <c r="R22" i="10"/>
  <c r="R23" i="10"/>
  <c r="R24" i="10"/>
  <c r="R25" i="10"/>
  <c r="R26" i="10"/>
  <c r="R27" i="10"/>
  <c r="R28" i="10"/>
  <c r="R29" i="10"/>
  <c r="R30" i="10"/>
  <c r="R31" i="10"/>
  <c r="R32" i="10"/>
  <c r="R33" i="10"/>
  <c r="R34" i="10"/>
  <c r="R35" i="10"/>
  <c r="R36" i="10"/>
  <c r="R37" i="10"/>
  <c r="R38" i="10"/>
  <c r="R39" i="10"/>
  <c r="R40" i="10"/>
  <c r="R41" i="10"/>
  <c r="R42" i="10"/>
  <c r="R43" i="10"/>
  <c r="R44" i="10"/>
  <c r="R45" i="10"/>
  <c r="R46" i="10"/>
  <c r="R47" i="10"/>
  <c r="R48" i="10"/>
  <c r="R49" i="10"/>
  <c r="R50" i="10"/>
  <c r="R51" i="10"/>
  <c r="R52" i="10"/>
  <c r="R53" i="10"/>
  <c r="R54" i="10"/>
  <c r="R55" i="10"/>
  <c r="R56" i="10"/>
  <c r="R57" i="10"/>
  <c r="R58" i="10"/>
  <c r="R59" i="10"/>
  <c r="R60" i="10"/>
  <c r="R61" i="10"/>
  <c r="R62" i="10"/>
  <c r="R63" i="10"/>
  <c r="R64" i="10"/>
  <c r="R65" i="10"/>
  <c r="R66" i="10"/>
  <c r="R67" i="10"/>
  <c r="R68" i="10"/>
  <c r="R69" i="10"/>
  <c r="R70" i="10"/>
  <c r="R71" i="10"/>
  <c r="R72" i="10"/>
  <c r="R73" i="10"/>
  <c r="R74" i="10"/>
  <c r="R75" i="10"/>
  <c r="R76" i="10"/>
  <c r="R77" i="10"/>
  <c r="R78" i="10"/>
  <c r="R79" i="10"/>
  <c r="R80" i="10"/>
  <c r="R81" i="10"/>
  <c r="R82" i="10"/>
  <c r="R83" i="10"/>
  <c r="R84" i="10"/>
  <c r="R85" i="10"/>
  <c r="R86" i="10"/>
  <c r="R87" i="10"/>
  <c r="R88" i="10"/>
  <c r="R89" i="10"/>
  <c r="R90" i="10"/>
  <c r="R91" i="10"/>
  <c r="R92" i="10"/>
  <c r="R93" i="10"/>
  <c r="R94" i="10"/>
  <c r="R95" i="10"/>
  <c r="R96" i="10"/>
  <c r="R97" i="10"/>
  <c r="R98" i="10"/>
  <c r="R99" i="10"/>
  <c r="R100" i="10"/>
  <c r="R101" i="10"/>
  <c r="R102" i="10"/>
  <c r="R103" i="10"/>
  <c r="R104" i="10"/>
  <c r="R105" i="10"/>
  <c r="R106" i="10"/>
  <c r="R107" i="10"/>
  <c r="R108" i="10"/>
  <c r="R109" i="10"/>
  <c r="R110" i="10"/>
  <c r="R111" i="10"/>
  <c r="R112" i="10"/>
  <c r="R113" i="10"/>
  <c r="R114" i="10"/>
  <c r="R115" i="10"/>
  <c r="R116" i="10"/>
  <c r="R117" i="10"/>
  <c r="R118" i="10"/>
  <c r="R119" i="10"/>
  <c r="R120" i="10"/>
  <c r="R121" i="10"/>
  <c r="R122" i="10"/>
  <c r="R123" i="10"/>
  <c r="R124" i="10"/>
  <c r="R125" i="10"/>
  <c r="R126" i="10"/>
  <c r="R127" i="10"/>
  <c r="R128" i="10"/>
  <c r="R129" i="10"/>
  <c r="R130" i="10"/>
  <c r="R131" i="10"/>
  <c r="R132" i="10"/>
  <c r="R133" i="10"/>
  <c r="R134" i="10"/>
  <c r="R135" i="10"/>
  <c r="R136" i="10"/>
  <c r="R137" i="10"/>
  <c r="R138" i="10"/>
  <c r="R139" i="10"/>
  <c r="R140" i="10"/>
  <c r="R141" i="10"/>
  <c r="R142" i="10"/>
  <c r="R143" i="10"/>
  <c r="R144" i="10"/>
  <c r="R145" i="10"/>
  <c r="R146" i="10"/>
  <c r="R148" i="10"/>
  <c r="R149" i="10"/>
  <c r="R150" i="10"/>
  <c r="R151" i="10"/>
  <c r="R152" i="10"/>
  <c r="R153" i="10"/>
  <c r="R154" i="10"/>
  <c r="R155" i="10"/>
  <c r="R156" i="10"/>
  <c r="R157" i="10"/>
  <c r="R158" i="10"/>
  <c r="R159" i="10"/>
  <c r="R160" i="10"/>
  <c r="R161" i="10"/>
  <c r="R162" i="10"/>
  <c r="R163" i="10"/>
  <c r="R164" i="10"/>
  <c r="R165" i="10"/>
  <c r="R166" i="10"/>
  <c r="R167" i="10"/>
  <c r="R168" i="10"/>
  <c r="R169" i="10"/>
  <c r="R170" i="10"/>
  <c r="R171" i="10"/>
  <c r="R172" i="10"/>
  <c r="R173" i="10"/>
  <c r="R174" i="10"/>
  <c r="R175" i="10"/>
  <c r="R176" i="10"/>
  <c r="R177" i="10"/>
  <c r="R178" i="10"/>
  <c r="R179" i="10"/>
  <c r="R180" i="10"/>
  <c r="R181" i="10"/>
  <c r="R182" i="10"/>
  <c r="R183" i="10"/>
  <c r="R184" i="10"/>
  <c r="R185" i="10"/>
  <c r="R186" i="10"/>
  <c r="R187" i="10"/>
  <c r="R188" i="10"/>
  <c r="R189" i="10"/>
  <c r="R190" i="10"/>
  <c r="R191" i="10"/>
  <c r="R192" i="10"/>
  <c r="R193" i="10"/>
  <c r="R194" i="10"/>
  <c r="R195" i="10"/>
  <c r="R196" i="10"/>
  <c r="R197" i="10"/>
  <c r="R198" i="10"/>
  <c r="R199" i="10"/>
  <c r="R200" i="10"/>
  <c r="R201" i="10"/>
  <c r="R202" i="10"/>
  <c r="R203" i="10"/>
  <c r="R204" i="10"/>
  <c r="R205" i="10"/>
  <c r="R206" i="10"/>
  <c r="R207" i="10"/>
  <c r="R208" i="10"/>
  <c r="R209" i="10"/>
  <c r="R210" i="10"/>
  <c r="R211" i="10"/>
  <c r="R212" i="10"/>
  <c r="R213" i="10"/>
  <c r="R214" i="10"/>
  <c r="R215" i="10"/>
  <c r="R216" i="10"/>
  <c r="R217" i="10"/>
  <c r="R218" i="10"/>
  <c r="R219" i="10"/>
  <c r="R220" i="10"/>
  <c r="R221" i="10"/>
  <c r="R222" i="10"/>
  <c r="R223" i="10"/>
  <c r="R224" i="10"/>
  <c r="R225" i="10"/>
  <c r="R226" i="10"/>
  <c r="R227" i="10"/>
  <c r="R228" i="10"/>
  <c r="R229" i="10"/>
  <c r="R230" i="10"/>
  <c r="R231" i="10"/>
  <c r="R232" i="10"/>
  <c r="R233" i="10"/>
  <c r="R234" i="10"/>
  <c r="R235" i="10"/>
  <c r="R236" i="10"/>
  <c r="R237" i="10"/>
  <c r="R238" i="10"/>
  <c r="R239" i="10"/>
  <c r="R240" i="10"/>
  <c r="R241" i="10"/>
  <c r="R242" i="10"/>
  <c r="R2" i="10"/>
  <c r="V30" i="21"/>
  <c r="V29" i="21"/>
  <c r="V28" i="21"/>
  <c r="V27" i="21"/>
  <c r="V26" i="21"/>
  <c r="V24" i="21"/>
  <c r="V23" i="21"/>
  <c r="V22" i="21"/>
  <c r="V21" i="21"/>
  <c r="V20" i="21"/>
  <c r="V19" i="21"/>
  <c r="V18" i="21"/>
  <c r="V14" i="21"/>
  <c r="V13" i="21"/>
  <c r="V12" i="21"/>
  <c r="X11" i="21"/>
  <c r="W11" i="21"/>
  <c r="V11" i="21"/>
  <c r="U11" i="21"/>
  <c r="T11" i="21"/>
  <c r="S11" i="21"/>
  <c r="R11" i="21"/>
  <c r="Q11" i="21"/>
  <c r="O11" i="21"/>
  <c r="N11" i="21"/>
  <c r="D11" i="21"/>
  <c r="C11" i="21"/>
  <c r="V10" i="21"/>
  <c r="V9" i="21"/>
  <c r="V8" i="21"/>
  <c r="X7" i="21"/>
  <c r="W7" i="21"/>
  <c r="V7" i="21"/>
  <c r="U7" i="21"/>
  <c r="T7" i="21"/>
  <c r="S7" i="21"/>
  <c r="R7" i="21"/>
  <c r="Q7" i="21"/>
  <c r="O7" i="21"/>
  <c r="N7" i="21"/>
  <c r="D7" i="21"/>
  <c r="C7" i="21"/>
  <c r="V6" i="21"/>
  <c r="V5" i="21"/>
  <c r="V4" i="21"/>
  <c r="V3" i="21"/>
  <c r="V2" i="21"/>
  <c r="E3" i="20"/>
  <c r="E4" i="20"/>
  <c r="E5" i="20"/>
  <c r="E6" i="20"/>
  <c r="E7" i="20"/>
  <c r="E8" i="20"/>
  <c r="E9" i="20"/>
  <c r="E10" i="20"/>
  <c r="E11" i="20"/>
  <c r="E12" i="20"/>
  <c r="E13" i="20"/>
  <c r="E14" i="20"/>
  <c r="E15" i="20"/>
  <c r="E16" i="20"/>
  <c r="E17" i="20"/>
  <c r="E18" i="20"/>
  <c r="E19" i="20"/>
  <c r="E20" i="20"/>
  <c r="E21" i="20"/>
  <c r="E22" i="20"/>
  <c r="E23" i="20"/>
  <c r="E24" i="20"/>
  <c r="E25" i="20"/>
  <c r="E26" i="20"/>
  <c r="E27" i="20"/>
  <c r="E28" i="20"/>
  <c r="E29" i="20"/>
  <c r="E30" i="20"/>
  <c r="E31" i="20"/>
  <c r="E32" i="20"/>
  <c r="E33" i="20"/>
  <c r="E34" i="20"/>
  <c r="E35" i="20"/>
  <c r="E2" i="20"/>
  <c r="A1" i="20" a="1"/>
  <c r="A1" i="20" s="1"/>
  <c r="T2" i="17" a="1"/>
  <c r="T2" i="17" s="1"/>
  <c r="S3" i="17"/>
  <c r="S4" i="17"/>
  <c r="S5" i="17"/>
  <c r="S6" i="17"/>
  <c r="S7" i="17"/>
  <c r="S8" i="17"/>
  <c r="S9" i="17"/>
  <c r="S10" i="17"/>
  <c r="S11" i="17"/>
  <c r="S12" i="17"/>
  <c r="S13" i="17"/>
  <c r="S14" i="17"/>
  <c r="S15" i="17"/>
  <c r="S16" i="17"/>
  <c r="S17" i="17"/>
  <c r="S18" i="17"/>
  <c r="S19" i="17"/>
  <c r="S20" i="17"/>
  <c r="S21" i="17"/>
  <c r="S22" i="17"/>
  <c r="S23" i="17"/>
  <c r="S24" i="17"/>
  <c r="S25" i="17"/>
  <c r="S26" i="17"/>
  <c r="S27" i="17"/>
  <c r="S28" i="17"/>
  <c r="S29" i="17"/>
  <c r="S30" i="17"/>
  <c r="S31" i="17"/>
  <c r="S32" i="17"/>
  <c r="S33" i="17"/>
  <c r="S34" i="17"/>
  <c r="S35" i="17"/>
  <c r="S36" i="17"/>
  <c r="S37" i="17"/>
  <c r="S38" i="17"/>
  <c r="S39" i="17"/>
  <c r="S40" i="17"/>
  <c r="S41" i="17"/>
  <c r="S42" i="17"/>
  <c r="S43" i="17"/>
  <c r="S44" i="17"/>
  <c r="S45" i="17"/>
  <c r="S46" i="17"/>
  <c r="S47" i="17"/>
  <c r="S48" i="17"/>
  <c r="S49" i="17"/>
  <c r="S50" i="17"/>
  <c r="S51" i="17"/>
  <c r="S52" i="17"/>
  <c r="S53" i="17"/>
  <c r="S54" i="17"/>
  <c r="S55" i="17"/>
  <c r="S56" i="17"/>
  <c r="S57" i="17"/>
  <c r="S58" i="17"/>
  <c r="S59" i="17"/>
  <c r="S60" i="17"/>
  <c r="S61" i="17"/>
  <c r="S62" i="17"/>
  <c r="S63" i="17"/>
  <c r="S64" i="17"/>
  <c r="S65" i="17"/>
  <c r="S66" i="17"/>
  <c r="S67" i="17"/>
  <c r="S68" i="17"/>
  <c r="S69" i="17"/>
  <c r="S70" i="17"/>
  <c r="S71" i="17"/>
  <c r="S72" i="17"/>
  <c r="S73" i="17"/>
  <c r="S74" i="17"/>
  <c r="S75" i="17"/>
  <c r="S76" i="17"/>
  <c r="S77" i="17"/>
  <c r="S78" i="17"/>
  <c r="S79" i="17"/>
  <c r="S80" i="17"/>
  <c r="S81" i="17"/>
  <c r="S82" i="17"/>
  <c r="S83" i="17"/>
  <c r="S84" i="17"/>
  <c r="S85" i="17"/>
  <c r="S86" i="17"/>
  <c r="S87" i="17"/>
  <c r="S88" i="17"/>
  <c r="S89" i="17"/>
  <c r="S90" i="17"/>
  <c r="S91" i="17"/>
  <c r="S92" i="17"/>
  <c r="S93" i="17"/>
  <c r="S94" i="17"/>
  <c r="S95" i="17"/>
  <c r="S96" i="17"/>
  <c r="S97" i="17"/>
  <c r="S98" i="17"/>
  <c r="S99" i="17"/>
  <c r="S100" i="17"/>
  <c r="S101" i="17"/>
  <c r="S102" i="17"/>
  <c r="S103" i="17"/>
  <c r="S104" i="17"/>
  <c r="S105" i="17"/>
  <c r="S106" i="17"/>
  <c r="S107" i="17"/>
  <c r="S108" i="17"/>
  <c r="S109" i="17"/>
  <c r="S110" i="17"/>
  <c r="S111" i="17"/>
  <c r="S112" i="17"/>
  <c r="S113" i="17"/>
  <c r="S114" i="17"/>
  <c r="S115" i="17"/>
  <c r="S116" i="17"/>
  <c r="S117" i="17"/>
  <c r="S118" i="17"/>
  <c r="S119" i="17"/>
  <c r="S120" i="17"/>
  <c r="S121" i="17"/>
  <c r="S122" i="17"/>
  <c r="S123" i="17"/>
  <c r="S124" i="17"/>
  <c r="S125" i="17"/>
  <c r="S126" i="17"/>
  <c r="S127" i="17"/>
  <c r="S128" i="17"/>
  <c r="S129" i="17"/>
  <c r="S130" i="17"/>
  <c r="S131" i="17"/>
  <c r="S132" i="17"/>
  <c r="S133" i="17"/>
  <c r="S134" i="17"/>
  <c r="S135" i="17"/>
  <c r="S136" i="17"/>
  <c r="S137" i="17"/>
  <c r="S138" i="17"/>
  <c r="S139" i="17"/>
  <c r="S140" i="17"/>
  <c r="S141" i="17"/>
  <c r="S142" i="17"/>
  <c r="S143" i="17"/>
  <c r="S144" i="17"/>
  <c r="S145" i="17"/>
  <c r="S146" i="17"/>
  <c r="S147" i="17"/>
  <c r="S148" i="17"/>
  <c r="S149" i="17"/>
  <c r="S150" i="17"/>
  <c r="S151" i="17"/>
  <c r="S152" i="17"/>
  <c r="S153" i="17"/>
  <c r="S154" i="17"/>
  <c r="S155" i="17"/>
  <c r="S156" i="17"/>
  <c r="S157" i="17"/>
  <c r="S158" i="17"/>
  <c r="S159" i="17"/>
  <c r="S160" i="17"/>
  <c r="S161" i="17"/>
  <c r="S162" i="17"/>
  <c r="S163" i="17"/>
  <c r="S164" i="17"/>
  <c r="S2" i="17"/>
  <c r="R34" i="17"/>
  <c r="R35" i="17"/>
  <c r="R36" i="17"/>
  <c r="R37" i="17"/>
  <c r="R38" i="17"/>
  <c r="R39" i="17"/>
  <c r="R40" i="17"/>
  <c r="R41" i="17"/>
  <c r="R42" i="17"/>
  <c r="R43" i="17"/>
  <c r="R44" i="17"/>
  <c r="R45" i="17"/>
  <c r="R46" i="17"/>
  <c r="R47" i="17"/>
  <c r="R48" i="17"/>
  <c r="R49" i="17"/>
  <c r="R50" i="17"/>
  <c r="R51" i="17"/>
  <c r="R52" i="17"/>
  <c r="R53" i="17"/>
  <c r="R54" i="17"/>
  <c r="R55" i="17"/>
  <c r="R56" i="17"/>
  <c r="R57" i="17"/>
  <c r="R58" i="17"/>
  <c r="R59" i="17"/>
  <c r="R60" i="17"/>
  <c r="R61" i="17"/>
  <c r="R62" i="17"/>
  <c r="R63" i="17"/>
  <c r="R64" i="17"/>
  <c r="R65" i="17"/>
  <c r="R66" i="17"/>
  <c r="R67" i="17"/>
  <c r="R68" i="17"/>
  <c r="R69" i="17"/>
  <c r="R70" i="17"/>
  <c r="R71" i="17"/>
  <c r="R72" i="17"/>
  <c r="R73" i="17"/>
  <c r="R74" i="17"/>
  <c r="R75" i="17"/>
  <c r="R76" i="17"/>
  <c r="R77" i="17"/>
  <c r="R78" i="17"/>
  <c r="R79" i="17"/>
  <c r="R80" i="17"/>
  <c r="R81" i="17"/>
  <c r="R82" i="17"/>
  <c r="R83" i="17"/>
  <c r="R84" i="17"/>
  <c r="R85" i="17"/>
  <c r="R86" i="17"/>
  <c r="R87" i="17"/>
  <c r="R88" i="17"/>
  <c r="R89" i="17"/>
  <c r="R90" i="17"/>
  <c r="R91" i="17"/>
  <c r="R92" i="17"/>
  <c r="R93" i="17"/>
  <c r="R94" i="17"/>
  <c r="R95" i="17"/>
  <c r="R96" i="17"/>
  <c r="R97" i="17"/>
  <c r="R98" i="17"/>
  <c r="R99" i="17"/>
  <c r="R100" i="17"/>
  <c r="R101" i="17"/>
  <c r="R102" i="17"/>
  <c r="R103" i="17"/>
  <c r="R104" i="17"/>
  <c r="R105" i="17"/>
  <c r="R106" i="17"/>
  <c r="R107" i="17"/>
  <c r="R108" i="17"/>
  <c r="R109" i="17"/>
  <c r="R110" i="17"/>
  <c r="R111" i="17"/>
  <c r="R112" i="17"/>
  <c r="R113" i="17"/>
  <c r="R114" i="17"/>
  <c r="R115" i="17"/>
  <c r="R116" i="17"/>
  <c r="R117" i="17"/>
  <c r="R118" i="17"/>
  <c r="R119" i="17"/>
  <c r="R120" i="17"/>
  <c r="R121" i="17"/>
  <c r="R122" i="17"/>
  <c r="R123" i="17"/>
  <c r="R124" i="17"/>
  <c r="R125" i="17"/>
  <c r="R126" i="17"/>
  <c r="R127" i="17"/>
  <c r="R128" i="17"/>
  <c r="R129" i="17"/>
  <c r="R130" i="17"/>
  <c r="R131" i="17"/>
  <c r="R132" i="17"/>
  <c r="R133" i="17"/>
  <c r="R134" i="17"/>
  <c r="R135" i="17"/>
  <c r="R136" i="17"/>
  <c r="R137" i="17"/>
  <c r="R138" i="17"/>
  <c r="R139" i="17"/>
  <c r="R140" i="17"/>
  <c r="R141" i="17"/>
  <c r="R142" i="17"/>
  <c r="R143" i="17"/>
  <c r="R144" i="17"/>
  <c r="R145" i="17"/>
  <c r="R146" i="17"/>
  <c r="R147" i="17"/>
  <c r="R148" i="17"/>
  <c r="R149" i="17"/>
  <c r="R150" i="17"/>
  <c r="R151" i="17"/>
  <c r="R152" i="17"/>
  <c r="R153" i="17"/>
  <c r="R154" i="17"/>
  <c r="R155" i="17"/>
  <c r="R156" i="17"/>
  <c r="R157" i="17"/>
  <c r="R158" i="17"/>
  <c r="R159" i="17"/>
  <c r="R160" i="17"/>
  <c r="R161" i="17"/>
  <c r="R162" i="17"/>
  <c r="R163" i="17"/>
  <c r="R164" i="17"/>
  <c r="R3" i="17"/>
  <c r="R4" i="17"/>
  <c r="R5" i="17"/>
  <c r="R6" i="17"/>
  <c r="R7" i="17"/>
  <c r="R8" i="17"/>
  <c r="R9" i="17"/>
  <c r="R10" i="17"/>
  <c r="R11" i="17"/>
  <c r="R12" i="17"/>
  <c r="R13" i="17"/>
  <c r="R14" i="17"/>
  <c r="R15" i="17"/>
  <c r="R16" i="17"/>
  <c r="R17" i="17"/>
  <c r="R18" i="17"/>
  <c r="R19" i="17"/>
  <c r="R20" i="17"/>
  <c r="R21" i="17"/>
  <c r="R22" i="17"/>
  <c r="R23" i="17"/>
  <c r="R24" i="17"/>
  <c r="R25" i="17"/>
  <c r="R26" i="17"/>
  <c r="R27" i="17"/>
  <c r="R28" i="17"/>
  <c r="R29" i="17"/>
  <c r="R30" i="17"/>
  <c r="R31" i="17"/>
  <c r="R32" i="17"/>
  <c r="R33"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4" i="17"/>
  <c r="Q3" i="17"/>
  <c r="Q4" i="17"/>
  <c r="Q5" i="17"/>
  <c r="Q6" i="17"/>
  <c r="Q7" i="17"/>
  <c r="Q8" i="17"/>
  <c r="Q9" i="17"/>
  <c r="Q10" i="17"/>
  <c r="Q11" i="17"/>
  <c r="Q12" i="17"/>
  <c r="Q13" i="17"/>
  <c r="Q2" i="17"/>
  <c r="P2"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7" i="17"/>
  <c r="P18" i="17"/>
  <c r="P19" i="17"/>
  <c r="P20" i="17"/>
  <c r="P21" i="17"/>
  <c r="P22" i="17"/>
  <c r="P23" i="17"/>
  <c r="P24" i="17"/>
  <c r="P25" i="17"/>
  <c r="P26" i="17"/>
  <c r="P27" i="17"/>
  <c r="P15" i="17"/>
  <c r="P16" i="17"/>
  <c r="P14" i="17"/>
  <c r="P3" i="17"/>
  <c r="P4" i="17"/>
  <c r="P5" i="17"/>
  <c r="P6" i="17"/>
  <c r="P7" i="17"/>
  <c r="P8" i="17"/>
  <c r="P9" i="17"/>
  <c r="P10" i="17"/>
  <c r="P11" i="17"/>
  <c r="P12" i="17"/>
  <c r="P13" i="17"/>
  <c r="R2" i="17"/>
  <c r="Q165" i="17"/>
  <c r="P165" i="17"/>
  <c r="L164" i="17" a="1"/>
  <c r="L164" i="17" s="1"/>
  <c r="K164" i="17" a="1"/>
  <c r="K164" i="17" s="1"/>
  <c r="M164" i="17" s="1"/>
  <c r="H164" i="17"/>
  <c r="E164" i="17"/>
  <c r="D164" i="17"/>
  <c r="L163" i="17" a="1"/>
  <c r="L163" i="17" s="1"/>
  <c r="K163" i="17" a="1"/>
  <c r="K163" i="17" s="1"/>
  <c r="H163" i="17"/>
  <c r="E163" i="17"/>
  <c r="D163" i="17"/>
  <c r="L162" i="17" a="1"/>
  <c r="L162" i="17" s="1"/>
  <c r="K162" i="17" a="1"/>
  <c r="K162" i="17" s="1"/>
  <c r="M162" i="17" s="1"/>
  <c r="H162" i="17"/>
  <c r="E162" i="17"/>
  <c r="D162" i="17"/>
  <c r="L161" i="17" a="1"/>
  <c r="L161" i="17" s="1"/>
  <c r="K161" i="17" a="1"/>
  <c r="K161" i="17" s="1"/>
  <c r="H161" i="17"/>
  <c r="E161" i="17"/>
  <c r="D161" i="17"/>
  <c r="L160" i="17" a="1"/>
  <c r="L160" i="17" s="1"/>
  <c r="K160" i="17" a="1"/>
  <c r="K160" i="17" s="1"/>
  <c r="M160" i="17" s="1"/>
  <c r="H160" i="17"/>
  <c r="E160" i="17"/>
  <c r="D160" i="17"/>
  <c r="L159" i="17" a="1"/>
  <c r="L159" i="17" s="1"/>
  <c r="K159" i="17" a="1"/>
  <c r="K159" i="17" s="1"/>
  <c r="H159" i="17"/>
  <c r="E159" i="17"/>
  <c r="D159" i="17"/>
  <c r="L158" i="17" a="1"/>
  <c r="L158" i="17" s="1"/>
  <c r="K158" i="17" a="1"/>
  <c r="K158" i="17" s="1"/>
  <c r="H158" i="17"/>
  <c r="E158" i="17"/>
  <c r="D158" i="17"/>
  <c r="L157" i="17" a="1"/>
  <c r="L157" i="17" s="1"/>
  <c r="K157" i="17" a="1"/>
  <c r="K157" i="17" s="1"/>
  <c r="H157" i="17"/>
  <c r="E157" i="17"/>
  <c r="D157" i="17"/>
  <c r="L156" i="17" a="1"/>
  <c r="L156" i="17" s="1"/>
  <c r="K156" i="17" a="1"/>
  <c r="K156" i="17" s="1"/>
  <c r="M156" i="17" s="1"/>
  <c r="H156" i="17"/>
  <c r="E156" i="17"/>
  <c r="D156" i="17"/>
  <c r="L155" i="17" a="1"/>
  <c r="L155" i="17" s="1"/>
  <c r="K155" i="17" a="1"/>
  <c r="K155" i="17" s="1"/>
  <c r="M155" i="17" s="1"/>
  <c r="N155" i="17" s="1"/>
  <c r="H155" i="17"/>
  <c r="E155" i="17"/>
  <c r="D155" i="17"/>
  <c r="L154" i="17" a="1"/>
  <c r="L154" i="17" s="1"/>
  <c r="K154" i="17" a="1"/>
  <c r="K154" i="17" s="1"/>
  <c r="H154" i="17"/>
  <c r="E154" i="17"/>
  <c r="D154" i="17"/>
  <c r="L153" i="17" a="1"/>
  <c r="L153" i="17" s="1"/>
  <c r="N153" i="17" s="1"/>
  <c r="K153" i="17" a="1"/>
  <c r="K153" i="17" s="1"/>
  <c r="M153" i="17" s="1"/>
  <c r="H153" i="17"/>
  <c r="E153" i="17"/>
  <c r="D153" i="17"/>
  <c r="L152" i="17" a="1"/>
  <c r="L152" i="17" s="1"/>
  <c r="K152" i="17" a="1"/>
  <c r="K152" i="17" s="1"/>
  <c r="M152" i="17" s="1"/>
  <c r="H152" i="17"/>
  <c r="E152" i="17"/>
  <c r="D152" i="17"/>
  <c r="L151" i="17" a="1"/>
  <c r="L151" i="17" s="1"/>
  <c r="N151" i="17" s="1"/>
  <c r="K151" i="17" a="1"/>
  <c r="K151" i="17" s="1"/>
  <c r="H151" i="17"/>
  <c r="E151" i="17"/>
  <c r="D151" i="17"/>
  <c r="L150" i="17" a="1"/>
  <c r="L150" i="17" s="1"/>
  <c r="K150" i="17" a="1"/>
  <c r="K150" i="17" s="1"/>
  <c r="M150" i="17" s="1"/>
  <c r="H150" i="17"/>
  <c r="E150" i="17"/>
  <c r="D150" i="17"/>
  <c r="L149" i="17" a="1"/>
  <c r="L149" i="17" s="1"/>
  <c r="K149" i="17" a="1"/>
  <c r="K149" i="17" s="1"/>
  <c r="M149" i="17" s="1"/>
  <c r="H149" i="17"/>
  <c r="E149" i="17"/>
  <c r="D149" i="17"/>
  <c r="L148" i="17" a="1"/>
  <c r="L148" i="17" s="1"/>
  <c r="K148" i="17" a="1"/>
  <c r="K148" i="17" s="1"/>
  <c r="M148" i="17" s="1"/>
  <c r="H148" i="17"/>
  <c r="E148" i="17"/>
  <c r="D148" i="17"/>
  <c r="L147" i="17" a="1"/>
  <c r="L147" i="17" s="1"/>
  <c r="N147" i="17" s="1"/>
  <c r="K147" i="17" a="1"/>
  <c r="K147" i="17" s="1"/>
  <c r="M147" i="17" s="1"/>
  <c r="H147" i="17"/>
  <c r="E147" i="17"/>
  <c r="D147" i="17"/>
  <c r="L146" i="17" a="1"/>
  <c r="L146" i="17" s="1"/>
  <c r="K146" i="17" a="1"/>
  <c r="K146" i="17" s="1"/>
  <c r="M146" i="17" s="1"/>
  <c r="H146" i="17"/>
  <c r="E146" i="17"/>
  <c r="D146" i="17"/>
  <c r="L145" i="17" a="1"/>
  <c r="L145" i="17" s="1"/>
  <c r="K145" i="17" a="1"/>
  <c r="K145" i="17" s="1"/>
  <c r="M145" i="17" s="1"/>
  <c r="H145" i="17"/>
  <c r="E145" i="17"/>
  <c r="D145" i="17"/>
  <c r="L144" i="17" a="1"/>
  <c r="L144" i="17" s="1"/>
  <c r="K144" i="17" a="1"/>
  <c r="K144" i="17" s="1"/>
  <c r="M144" i="17" s="1"/>
  <c r="H144" i="17"/>
  <c r="E144" i="17"/>
  <c r="D144" i="17"/>
  <c r="L143" i="17" a="1"/>
  <c r="L143" i="17" s="1"/>
  <c r="K143" i="17" a="1"/>
  <c r="K143" i="17" s="1"/>
  <c r="M143" i="17" s="1"/>
  <c r="H143" i="17"/>
  <c r="E143" i="17"/>
  <c r="D143" i="17"/>
  <c r="L142" i="17" a="1"/>
  <c r="L142" i="17" s="1"/>
  <c r="K142" i="17" a="1"/>
  <c r="K142" i="17" s="1"/>
  <c r="M142" i="17" s="1"/>
  <c r="H142" i="17"/>
  <c r="E142" i="17"/>
  <c r="D142" i="17"/>
  <c r="L141" i="17" a="1"/>
  <c r="L141" i="17" s="1"/>
  <c r="K141" i="17" a="1"/>
  <c r="K141" i="17" s="1"/>
  <c r="M141" i="17" s="1"/>
  <c r="H141" i="17"/>
  <c r="E141" i="17"/>
  <c r="D141" i="17"/>
  <c r="L140" i="17" a="1"/>
  <c r="L140" i="17" s="1"/>
  <c r="K140" i="17" a="1"/>
  <c r="K140" i="17" s="1"/>
  <c r="M140" i="17" s="1"/>
  <c r="N140" i="17" s="1"/>
  <c r="H140" i="17"/>
  <c r="E140" i="17"/>
  <c r="D140" i="17"/>
  <c r="L139" i="17" a="1"/>
  <c r="L139" i="17" s="1"/>
  <c r="N139" i="17" s="1"/>
  <c r="K139" i="17" a="1"/>
  <c r="K139" i="17" s="1"/>
  <c r="M139" i="17" s="1"/>
  <c r="H139" i="17"/>
  <c r="E139" i="17"/>
  <c r="D139" i="17"/>
  <c r="L138" i="17" a="1"/>
  <c r="L138" i="17" s="1"/>
  <c r="K138" i="17" a="1"/>
  <c r="K138" i="17" s="1"/>
  <c r="M138" i="17" s="1"/>
  <c r="H138" i="17"/>
  <c r="E138" i="17"/>
  <c r="D138" i="17"/>
  <c r="L137" i="17" a="1"/>
  <c r="L137" i="17" s="1"/>
  <c r="K137" i="17" a="1"/>
  <c r="K137" i="17" s="1"/>
  <c r="M137" i="17" s="1"/>
  <c r="H137" i="17"/>
  <c r="E137" i="17"/>
  <c r="D137" i="17"/>
  <c r="L136" i="17" a="1"/>
  <c r="L136" i="17" s="1"/>
  <c r="K136" i="17" a="1"/>
  <c r="K136" i="17" s="1"/>
  <c r="M136" i="17" s="1"/>
  <c r="H136" i="17"/>
  <c r="E136" i="17"/>
  <c r="D136" i="17"/>
  <c r="L135" i="17" a="1"/>
  <c r="L135" i="17" s="1"/>
  <c r="K135" i="17" a="1"/>
  <c r="K135" i="17" s="1"/>
  <c r="M135" i="17" s="1"/>
  <c r="H135" i="17"/>
  <c r="E135" i="17"/>
  <c r="D135" i="17"/>
  <c r="L134" i="17" a="1"/>
  <c r="L134" i="17" s="1"/>
  <c r="K134" i="17" a="1"/>
  <c r="K134" i="17" s="1"/>
  <c r="M134" i="17" s="1"/>
  <c r="H134" i="17"/>
  <c r="E134" i="17"/>
  <c r="D134" i="17"/>
  <c r="L133" i="17" a="1"/>
  <c r="L133" i="17" s="1"/>
  <c r="K133" i="17" a="1"/>
  <c r="K133" i="17" s="1"/>
  <c r="M133" i="17" s="1"/>
  <c r="H133" i="17"/>
  <c r="E133" i="17"/>
  <c r="D133" i="17"/>
  <c r="L132" i="17" a="1"/>
  <c r="L132" i="17" s="1"/>
  <c r="K132" i="17" a="1"/>
  <c r="K132" i="17" s="1"/>
  <c r="M132" i="17" s="1"/>
  <c r="H132" i="17"/>
  <c r="E132" i="17"/>
  <c r="D132" i="17"/>
  <c r="L131" i="17" a="1"/>
  <c r="L131" i="17" s="1"/>
  <c r="K131" i="17" a="1"/>
  <c r="K131" i="17" s="1"/>
  <c r="M131" i="17" s="1"/>
  <c r="H131" i="17"/>
  <c r="E131" i="17"/>
  <c r="D131" i="17"/>
  <c r="L130" i="17" a="1"/>
  <c r="L130" i="17" s="1"/>
  <c r="K130" i="17" a="1"/>
  <c r="K130" i="17" s="1"/>
  <c r="M130" i="17" s="1"/>
  <c r="H130" i="17"/>
  <c r="E130" i="17"/>
  <c r="D130" i="17"/>
  <c r="L129" i="17" a="1"/>
  <c r="L129" i="17" s="1"/>
  <c r="K129" i="17" a="1"/>
  <c r="K129" i="17" s="1"/>
  <c r="M129" i="17" s="1"/>
  <c r="H129" i="17"/>
  <c r="E129" i="17"/>
  <c r="D129" i="17"/>
  <c r="L128" i="17" a="1"/>
  <c r="L128" i="17" s="1"/>
  <c r="K128" i="17" a="1"/>
  <c r="K128" i="17" s="1"/>
  <c r="M128" i="17" s="1"/>
  <c r="H128" i="17"/>
  <c r="E128" i="17"/>
  <c r="D128" i="17"/>
  <c r="L127" i="17" a="1"/>
  <c r="L127" i="17" s="1"/>
  <c r="K127" i="17" a="1"/>
  <c r="K127" i="17" s="1"/>
  <c r="M127" i="17" s="1"/>
  <c r="H127" i="17"/>
  <c r="E127" i="17"/>
  <c r="D127" i="17"/>
  <c r="L126" i="17" a="1"/>
  <c r="L126" i="17" s="1"/>
  <c r="K126" i="17" a="1"/>
  <c r="K126" i="17" s="1"/>
  <c r="M126" i="17" s="1"/>
  <c r="H126" i="17"/>
  <c r="E126" i="17"/>
  <c r="D126" i="17"/>
  <c r="L125" i="17" a="1"/>
  <c r="L125" i="17" s="1"/>
  <c r="K125" i="17" a="1"/>
  <c r="K125" i="17" s="1"/>
  <c r="M125" i="17" s="1"/>
  <c r="H125" i="17"/>
  <c r="E125" i="17"/>
  <c r="D125" i="17"/>
  <c r="L124" i="17" a="1"/>
  <c r="L124" i="17" s="1"/>
  <c r="K124" i="17" a="1"/>
  <c r="K124" i="17" s="1"/>
  <c r="H124" i="17"/>
  <c r="E124" i="17"/>
  <c r="D124" i="17"/>
  <c r="L123" i="17" a="1"/>
  <c r="L123" i="17" s="1"/>
  <c r="K123" i="17" a="1"/>
  <c r="K123" i="17" s="1"/>
  <c r="M123" i="17" s="1"/>
  <c r="H123" i="17"/>
  <c r="E123" i="17"/>
  <c r="D123" i="17"/>
  <c r="L122" i="17" a="1"/>
  <c r="L122" i="17" s="1"/>
  <c r="N122" i="17" s="1"/>
  <c r="K122" i="17" a="1"/>
  <c r="K122" i="17" s="1"/>
  <c r="M122" i="17" s="1"/>
  <c r="H122" i="17"/>
  <c r="E122" i="17"/>
  <c r="D122" i="17"/>
  <c r="L121" i="17" a="1"/>
  <c r="L121" i="17" s="1"/>
  <c r="K121" i="17" a="1"/>
  <c r="K121" i="17" s="1"/>
  <c r="M121" i="17" s="1"/>
  <c r="H121" i="17"/>
  <c r="E121" i="17"/>
  <c r="D121" i="17"/>
  <c r="L120" i="17" a="1"/>
  <c r="L120" i="17" s="1"/>
  <c r="K120" i="17" a="1"/>
  <c r="K120" i="17" s="1"/>
  <c r="M120" i="17" s="1"/>
  <c r="H120" i="17"/>
  <c r="E120" i="17"/>
  <c r="D120" i="17"/>
  <c r="L119" i="17" a="1"/>
  <c r="L119" i="17" s="1"/>
  <c r="K119" i="17" a="1"/>
  <c r="K119" i="17" s="1"/>
  <c r="M119" i="17" s="1"/>
  <c r="H119" i="17"/>
  <c r="E119" i="17"/>
  <c r="D119" i="17"/>
  <c r="L118" i="17" a="1"/>
  <c r="L118" i="17" s="1"/>
  <c r="K118" i="17" a="1"/>
  <c r="K118" i="17" s="1"/>
  <c r="M118" i="17" s="1"/>
  <c r="H118" i="17"/>
  <c r="E118" i="17"/>
  <c r="D118" i="17"/>
  <c r="L117" i="17" a="1"/>
  <c r="L117" i="17" s="1"/>
  <c r="K117" i="17" a="1"/>
  <c r="K117" i="17" s="1"/>
  <c r="M117" i="17" s="1"/>
  <c r="H117" i="17"/>
  <c r="E117" i="17"/>
  <c r="D117" i="17"/>
  <c r="L116" i="17" a="1"/>
  <c r="L116" i="17" s="1"/>
  <c r="N116" i="17" s="1"/>
  <c r="K116" i="17" a="1"/>
  <c r="K116" i="17" s="1"/>
  <c r="M116" i="17" s="1"/>
  <c r="H116" i="17"/>
  <c r="E116" i="17"/>
  <c r="D116" i="17"/>
  <c r="L115" i="17" a="1"/>
  <c r="L115" i="17" s="1"/>
  <c r="K115" i="17" a="1"/>
  <c r="K115" i="17" s="1"/>
  <c r="M115" i="17" s="1"/>
  <c r="H115" i="17"/>
  <c r="E115" i="17"/>
  <c r="D115" i="17"/>
  <c r="L114" i="17" a="1"/>
  <c r="L114" i="17" s="1"/>
  <c r="K114" i="17" a="1"/>
  <c r="K114" i="17" s="1"/>
  <c r="M114" i="17" s="1"/>
  <c r="H114" i="17"/>
  <c r="E114" i="17"/>
  <c r="D114" i="17"/>
  <c r="L113" i="17" a="1"/>
  <c r="L113" i="17" s="1"/>
  <c r="K113" i="17" a="1"/>
  <c r="K113" i="17" s="1"/>
  <c r="M113" i="17" s="1"/>
  <c r="H113" i="17"/>
  <c r="E113" i="17"/>
  <c r="D113" i="17"/>
  <c r="L112" i="17" a="1"/>
  <c r="L112" i="17" s="1"/>
  <c r="N112" i="17" s="1"/>
  <c r="K112" i="17" a="1"/>
  <c r="K112" i="17" s="1"/>
  <c r="M112" i="17" s="1"/>
  <c r="H112" i="17"/>
  <c r="E112" i="17"/>
  <c r="D112" i="17"/>
  <c r="L111" i="17" a="1"/>
  <c r="L111" i="17" s="1"/>
  <c r="K111" i="17" a="1"/>
  <c r="K111" i="17" s="1"/>
  <c r="M111" i="17" s="1"/>
  <c r="H111" i="17"/>
  <c r="E111" i="17"/>
  <c r="D111" i="17"/>
  <c r="L110" i="17" a="1"/>
  <c r="L110" i="17" s="1"/>
  <c r="N110" i="17" s="1"/>
  <c r="K110" i="17" a="1"/>
  <c r="K110" i="17" s="1"/>
  <c r="M110" i="17" s="1"/>
  <c r="H110" i="17"/>
  <c r="E110" i="17"/>
  <c r="D110" i="17"/>
  <c r="L109" i="17" a="1"/>
  <c r="L109" i="17" s="1"/>
  <c r="K109" i="17" a="1"/>
  <c r="K109" i="17" s="1"/>
  <c r="M109" i="17" s="1"/>
  <c r="H109" i="17"/>
  <c r="E109" i="17"/>
  <c r="D109" i="17"/>
  <c r="L108" i="17" a="1"/>
  <c r="L108" i="17" s="1"/>
  <c r="K108" i="17" a="1"/>
  <c r="K108" i="17" s="1"/>
  <c r="M108" i="17" s="1"/>
  <c r="H108" i="17"/>
  <c r="E108" i="17"/>
  <c r="D108" i="17"/>
  <c r="L107" i="17" a="1"/>
  <c r="L107" i="17" s="1"/>
  <c r="K107" i="17" a="1"/>
  <c r="K107" i="17" s="1"/>
  <c r="M107" i="17" s="1"/>
  <c r="H107" i="17"/>
  <c r="E107" i="17"/>
  <c r="D107" i="17"/>
  <c r="L106" i="17" a="1"/>
  <c r="L106" i="17" s="1"/>
  <c r="K106" i="17" a="1"/>
  <c r="K106" i="17" s="1"/>
  <c r="M106" i="17" s="1"/>
  <c r="H106" i="17"/>
  <c r="E106" i="17"/>
  <c r="D106" i="17"/>
  <c r="L105" i="17" a="1"/>
  <c r="L105" i="17" s="1"/>
  <c r="K105" i="17" a="1"/>
  <c r="K105" i="17" s="1"/>
  <c r="M105" i="17" s="1"/>
  <c r="H105" i="17"/>
  <c r="E105" i="17"/>
  <c r="D105" i="17"/>
  <c r="L104" i="17" a="1"/>
  <c r="L104" i="17" s="1"/>
  <c r="K104" i="17" a="1"/>
  <c r="K104" i="17" s="1"/>
  <c r="H104" i="17"/>
  <c r="E104" i="17"/>
  <c r="D104" i="17"/>
  <c r="L103" i="17" a="1"/>
  <c r="L103" i="17" s="1"/>
  <c r="K103" i="17" a="1"/>
  <c r="K103" i="17" s="1"/>
  <c r="M103" i="17" s="1"/>
  <c r="H103" i="17"/>
  <c r="E103" i="17"/>
  <c r="D103" i="17"/>
  <c r="L102" i="17" a="1"/>
  <c r="L102" i="17" s="1"/>
  <c r="K102" i="17" a="1"/>
  <c r="K102" i="17" s="1"/>
  <c r="M102" i="17" s="1"/>
  <c r="H102" i="17"/>
  <c r="E102" i="17"/>
  <c r="D102" i="17"/>
  <c r="L101" i="17" a="1"/>
  <c r="L101" i="17" s="1"/>
  <c r="K101" i="17" a="1"/>
  <c r="K101" i="17" s="1"/>
  <c r="M101" i="17" s="1"/>
  <c r="H101" i="17"/>
  <c r="E101" i="17"/>
  <c r="D101" i="17"/>
  <c r="L100" i="17" a="1"/>
  <c r="L100" i="17" s="1"/>
  <c r="K100" i="17" a="1"/>
  <c r="K100" i="17" s="1"/>
  <c r="M100" i="17" s="1"/>
  <c r="H100" i="17"/>
  <c r="E100" i="17"/>
  <c r="D100" i="17"/>
  <c r="L99" i="17" a="1"/>
  <c r="L99" i="17" s="1"/>
  <c r="K99" i="17" a="1"/>
  <c r="K99" i="17" s="1"/>
  <c r="M99" i="17" s="1"/>
  <c r="H99" i="17"/>
  <c r="E99" i="17"/>
  <c r="D99" i="17"/>
  <c r="L98" i="17" a="1"/>
  <c r="L98" i="17" s="1"/>
  <c r="K98" i="17" a="1"/>
  <c r="K98" i="17" s="1"/>
  <c r="M98" i="17" s="1"/>
  <c r="H98" i="17"/>
  <c r="E98" i="17"/>
  <c r="D98" i="17"/>
  <c r="L97" i="17" a="1"/>
  <c r="L97" i="17" s="1"/>
  <c r="K97" i="17" a="1"/>
  <c r="K97" i="17" s="1"/>
  <c r="H97" i="17"/>
  <c r="E97" i="17"/>
  <c r="D97" i="17"/>
  <c r="L96" i="17" a="1"/>
  <c r="L96" i="17" s="1"/>
  <c r="K96" i="17" a="1"/>
  <c r="K96" i="17" s="1"/>
  <c r="M96" i="17" s="1"/>
  <c r="H96" i="17"/>
  <c r="E96" i="17"/>
  <c r="D96" i="17"/>
  <c r="L95" i="17" a="1"/>
  <c r="L95" i="17" s="1"/>
  <c r="K95" i="17" a="1"/>
  <c r="K95" i="17" s="1"/>
  <c r="M95" i="17" s="1"/>
  <c r="H95" i="17"/>
  <c r="E95" i="17"/>
  <c r="D95" i="17"/>
  <c r="L94" i="17" a="1"/>
  <c r="L94" i="17" s="1"/>
  <c r="K94" i="17" a="1"/>
  <c r="K94" i="17" s="1"/>
  <c r="M94" i="17" s="1"/>
  <c r="H94" i="17"/>
  <c r="E94" i="17"/>
  <c r="D94" i="17"/>
  <c r="L93" i="17" a="1"/>
  <c r="L93" i="17" s="1"/>
  <c r="K93" i="17" a="1"/>
  <c r="K93" i="17" s="1"/>
  <c r="M93" i="17" s="1"/>
  <c r="H93" i="17"/>
  <c r="E93" i="17"/>
  <c r="D93" i="17"/>
  <c r="L92" i="17" a="1"/>
  <c r="L92" i="17" s="1"/>
  <c r="K92" i="17" a="1"/>
  <c r="K92" i="17" s="1"/>
  <c r="M92" i="17" s="1"/>
  <c r="H92" i="17"/>
  <c r="E92" i="17"/>
  <c r="D92" i="17"/>
  <c r="L91" i="17" a="1"/>
  <c r="L91" i="17" s="1"/>
  <c r="K91" i="17" a="1"/>
  <c r="K91" i="17" s="1"/>
  <c r="M91" i="17" s="1"/>
  <c r="H91" i="17"/>
  <c r="E91" i="17"/>
  <c r="D91" i="17"/>
  <c r="L90" i="17" a="1"/>
  <c r="L90" i="17" s="1"/>
  <c r="K90" i="17" a="1"/>
  <c r="K90" i="17" s="1"/>
  <c r="M90" i="17" s="1"/>
  <c r="H90" i="17"/>
  <c r="E90" i="17"/>
  <c r="D90" i="17"/>
  <c r="L89" i="17" a="1"/>
  <c r="L89" i="17" s="1"/>
  <c r="N89" i="17" s="1"/>
  <c r="K89" i="17" a="1"/>
  <c r="K89" i="17" s="1"/>
  <c r="M89" i="17" s="1"/>
  <c r="H89" i="17"/>
  <c r="E89" i="17"/>
  <c r="D89" i="17"/>
  <c r="L88" i="17" a="1"/>
  <c r="L88" i="17" s="1"/>
  <c r="K88" i="17" a="1"/>
  <c r="K88" i="17" s="1"/>
  <c r="M88" i="17" s="1"/>
  <c r="H88" i="17"/>
  <c r="E88" i="17"/>
  <c r="D88" i="17"/>
  <c r="L87" i="17" a="1"/>
  <c r="L87" i="17" s="1"/>
  <c r="K87" i="17" a="1"/>
  <c r="K87" i="17" s="1"/>
  <c r="M87" i="17" s="1"/>
  <c r="H87" i="17"/>
  <c r="E87" i="17"/>
  <c r="D87" i="17"/>
  <c r="L86" i="17" a="1"/>
  <c r="L86" i="17" s="1"/>
  <c r="K86" i="17" a="1"/>
  <c r="K86" i="17" s="1"/>
  <c r="M86" i="17" s="1"/>
  <c r="H86" i="17"/>
  <c r="E86" i="17"/>
  <c r="D86" i="17"/>
  <c r="L85" i="17" a="1"/>
  <c r="L85" i="17" s="1"/>
  <c r="K85" i="17" a="1"/>
  <c r="K85" i="17" s="1"/>
  <c r="M85" i="17" s="1"/>
  <c r="H85" i="17"/>
  <c r="E85" i="17"/>
  <c r="D85" i="17"/>
  <c r="L84" i="17" a="1"/>
  <c r="L84" i="17" s="1"/>
  <c r="K84" i="17" a="1"/>
  <c r="K84" i="17" s="1"/>
  <c r="M84" i="17" s="1"/>
  <c r="H84" i="17"/>
  <c r="E84" i="17"/>
  <c r="D84" i="17"/>
  <c r="L83" i="17" a="1"/>
  <c r="L83" i="17" s="1"/>
  <c r="K83" i="17" a="1"/>
  <c r="K83" i="17" s="1"/>
  <c r="M83" i="17" s="1"/>
  <c r="H83" i="17"/>
  <c r="E83" i="17"/>
  <c r="D83" i="17"/>
  <c r="L82" i="17" a="1"/>
  <c r="L82" i="17" s="1"/>
  <c r="K82" i="17" a="1"/>
  <c r="K82" i="17" s="1"/>
  <c r="M82" i="17" s="1"/>
  <c r="H82" i="17"/>
  <c r="E82" i="17"/>
  <c r="D82" i="17"/>
  <c r="L81" i="17" a="1"/>
  <c r="L81" i="17" s="1"/>
  <c r="K81" i="17" a="1"/>
  <c r="K81" i="17" s="1"/>
  <c r="M81" i="17" s="1"/>
  <c r="H81" i="17"/>
  <c r="E81" i="17"/>
  <c r="D81" i="17"/>
  <c r="L80" i="17" a="1"/>
  <c r="L80" i="17" s="1"/>
  <c r="K80" i="17" a="1"/>
  <c r="K80" i="17" s="1"/>
  <c r="M80" i="17" s="1"/>
  <c r="H80" i="17"/>
  <c r="E80" i="17"/>
  <c r="D80" i="17"/>
  <c r="L79" i="17" a="1"/>
  <c r="L79" i="17" s="1"/>
  <c r="K79" i="17" a="1"/>
  <c r="K79" i="17" s="1"/>
  <c r="M79" i="17" s="1"/>
  <c r="H79" i="17"/>
  <c r="E79" i="17"/>
  <c r="D79" i="17"/>
  <c r="L78" i="17" a="1"/>
  <c r="L78" i="17" s="1"/>
  <c r="K78" i="17" a="1"/>
  <c r="K78" i="17" s="1"/>
  <c r="M78" i="17" s="1"/>
  <c r="H78" i="17"/>
  <c r="E78" i="17"/>
  <c r="D78" i="17"/>
  <c r="L77" i="17" a="1"/>
  <c r="L77" i="17" s="1"/>
  <c r="K77" i="17" a="1"/>
  <c r="K77" i="17" s="1"/>
  <c r="M77" i="17" s="1"/>
  <c r="H77" i="17"/>
  <c r="E77" i="17"/>
  <c r="D77" i="17"/>
  <c r="L76" i="17" a="1"/>
  <c r="L76" i="17" s="1"/>
  <c r="K76" i="17" a="1"/>
  <c r="K76" i="17" s="1"/>
  <c r="M76" i="17" s="1"/>
  <c r="H76" i="17"/>
  <c r="E76" i="17"/>
  <c r="D76" i="17"/>
  <c r="L75" i="17" a="1"/>
  <c r="L75" i="17" s="1"/>
  <c r="K75" i="17" a="1"/>
  <c r="K75" i="17" s="1"/>
  <c r="M75" i="17" s="1"/>
  <c r="H75" i="17"/>
  <c r="E75" i="17"/>
  <c r="D75" i="17"/>
  <c r="L74" i="17" a="1"/>
  <c r="L74" i="17" s="1"/>
  <c r="K74" i="17" a="1"/>
  <c r="K74" i="17" s="1"/>
  <c r="M74" i="17" s="1"/>
  <c r="H74" i="17"/>
  <c r="E74" i="17"/>
  <c r="D74" i="17"/>
  <c r="L73" i="17" a="1"/>
  <c r="L73" i="17" s="1"/>
  <c r="K73" i="17" a="1"/>
  <c r="K73" i="17" s="1"/>
  <c r="M73" i="17" s="1"/>
  <c r="H73" i="17"/>
  <c r="E73" i="17"/>
  <c r="D73" i="17"/>
  <c r="L72" i="17" a="1"/>
  <c r="L72" i="17" s="1"/>
  <c r="K72" i="17" a="1"/>
  <c r="K72" i="17" s="1"/>
  <c r="M72" i="17" s="1"/>
  <c r="H72" i="17"/>
  <c r="E72" i="17"/>
  <c r="D72" i="17"/>
  <c r="L71" i="17" a="1"/>
  <c r="L71" i="17" s="1"/>
  <c r="K71" i="17" a="1"/>
  <c r="K71" i="17" s="1"/>
  <c r="M71" i="17" s="1"/>
  <c r="N71" i="17" s="1"/>
  <c r="H71" i="17"/>
  <c r="E71" i="17"/>
  <c r="D71" i="17"/>
  <c r="L70" i="17" a="1"/>
  <c r="L70" i="17" s="1"/>
  <c r="K70" i="17" a="1"/>
  <c r="K70" i="17" s="1"/>
  <c r="M70" i="17" s="1"/>
  <c r="H70" i="17"/>
  <c r="E70" i="17"/>
  <c r="D70" i="17"/>
  <c r="L69" i="17" a="1"/>
  <c r="L69" i="17" s="1"/>
  <c r="K69" i="17" a="1"/>
  <c r="K69" i="17" s="1"/>
  <c r="M69" i="17" s="1"/>
  <c r="H69" i="17"/>
  <c r="E69" i="17"/>
  <c r="D69" i="17"/>
  <c r="L68" i="17" a="1"/>
  <c r="L68" i="17" s="1"/>
  <c r="K68" i="17" a="1"/>
  <c r="K68" i="17" s="1"/>
  <c r="M68" i="17" s="1"/>
  <c r="H68" i="17"/>
  <c r="E68" i="17"/>
  <c r="D68" i="17"/>
  <c r="L67" i="17" a="1"/>
  <c r="L67" i="17" s="1"/>
  <c r="K67" i="17" a="1"/>
  <c r="K67" i="17" s="1"/>
  <c r="M67" i="17" s="1"/>
  <c r="H67" i="17"/>
  <c r="E67" i="17"/>
  <c r="D67" i="17"/>
  <c r="L66" i="17" a="1"/>
  <c r="L66" i="17" s="1"/>
  <c r="K66" i="17" a="1"/>
  <c r="K66" i="17" s="1"/>
  <c r="M66" i="17" s="1"/>
  <c r="H66" i="17"/>
  <c r="E66" i="17"/>
  <c r="D66" i="17"/>
  <c r="L65" i="17" a="1"/>
  <c r="L65" i="17" s="1"/>
  <c r="K65" i="17" a="1"/>
  <c r="K65" i="17" s="1"/>
  <c r="M65" i="17" s="1"/>
  <c r="H65" i="17"/>
  <c r="E65" i="17"/>
  <c r="D65" i="17"/>
  <c r="L64" i="17" a="1"/>
  <c r="L64" i="17" s="1"/>
  <c r="K64" i="17" a="1"/>
  <c r="K64" i="17" s="1"/>
  <c r="M64" i="17" s="1"/>
  <c r="H64" i="17"/>
  <c r="E64" i="17"/>
  <c r="D64" i="17"/>
  <c r="L63" i="17" a="1"/>
  <c r="L63" i="17" s="1"/>
  <c r="K63" i="17" a="1"/>
  <c r="K63" i="17" s="1"/>
  <c r="H63" i="17"/>
  <c r="E63" i="17"/>
  <c r="D63" i="17"/>
  <c r="L62" i="17" a="1"/>
  <c r="L62" i="17" s="1"/>
  <c r="K62" i="17" a="1"/>
  <c r="K62" i="17" s="1"/>
  <c r="M62" i="17" s="1"/>
  <c r="H62" i="17"/>
  <c r="E62" i="17"/>
  <c r="D62" i="17"/>
  <c r="L61" i="17" a="1"/>
  <c r="L61" i="17" s="1"/>
  <c r="K61" i="17" a="1"/>
  <c r="K61" i="17" s="1"/>
  <c r="M61" i="17" s="1"/>
  <c r="H61" i="17"/>
  <c r="E61" i="17"/>
  <c r="D61" i="17"/>
  <c r="L60" i="17" a="1"/>
  <c r="L60" i="17" s="1"/>
  <c r="K60" i="17" a="1"/>
  <c r="K60" i="17" s="1"/>
  <c r="M60" i="17" s="1"/>
  <c r="H60" i="17"/>
  <c r="E60" i="17"/>
  <c r="D60" i="17"/>
  <c r="L59" i="17" a="1"/>
  <c r="L59" i="17" s="1"/>
  <c r="K59" i="17" a="1"/>
  <c r="K59" i="17" s="1"/>
  <c r="M59" i="17" s="1"/>
  <c r="H59" i="17"/>
  <c r="E59" i="17"/>
  <c r="D59" i="17"/>
  <c r="L58" i="17" a="1"/>
  <c r="L58" i="17" s="1"/>
  <c r="K58" i="17" a="1"/>
  <c r="K58" i="17" s="1"/>
  <c r="H58" i="17"/>
  <c r="E58" i="17"/>
  <c r="D58" i="17"/>
  <c r="L57" i="17" a="1"/>
  <c r="L57" i="17" s="1"/>
  <c r="K57" i="17" a="1"/>
  <c r="K57" i="17" s="1"/>
  <c r="M57" i="17" s="1"/>
  <c r="H57" i="17"/>
  <c r="E57" i="17"/>
  <c r="D57" i="17"/>
  <c r="L56" i="17" a="1"/>
  <c r="L56" i="17" s="1"/>
  <c r="K56" i="17" a="1"/>
  <c r="K56" i="17" s="1"/>
  <c r="M56" i="17" s="1"/>
  <c r="H56" i="17"/>
  <c r="E56" i="17"/>
  <c r="D56" i="17"/>
  <c r="L55" i="17" a="1"/>
  <c r="L55" i="17" s="1"/>
  <c r="K55" i="17" a="1"/>
  <c r="K55" i="17" s="1"/>
  <c r="M55" i="17" s="1"/>
  <c r="H55" i="17"/>
  <c r="E55" i="17"/>
  <c r="D55" i="17"/>
  <c r="L54" i="17" a="1"/>
  <c r="L54" i="17" s="1"/>
  <c r="N54" i="17" s="1"/>
  <c r="K54" i="17" a="1"/>
  <c r="K54" i="17" s="1"/>
  <c r="M54" i="17" s="1"/>
  <c r="H54" i="17"/>
  <c r="E54" i="17"/>
  <c r="D54" i="17"/>
  <c r="L53" i="17" a="1"/>
  <c r="L53" i="17" s="1"/>
  <c r="K53" i="17" a="1"/>
  <c r="K53" i="17" s="1"/>
  <c r="M53" i="17" s="1"/>
  <c r="H53" i="17"/>
  <c r="E53" i="17"/>
  <c r="D53" i="17"/>
  <c r="L52" i="17" a="1"/>
  <c r="L52" i="17" s="1"/>
  <c r="N52" i="17" s="1"/>
  <c r="K52" i="17" a="1"/>
  <c r="K52" i="17" s="1"/>
  <c r="M52" i="17" s="1"/>
  <c r="H52" i="17"/>
  <c r="E52" i="17"/>
  <c r="D52" i="17"/>
  <c r="L51" i="17" a="1"/>
  <c r="L51" i="17" s="1"/>
  <c r="K51" i="17" a="1"/>
  <c r="K51" i="17" s="1"/>
  <c r="M51" i="17" s="1"/>
  <c r="H51" i="17"/>
  <c r="E51" i="17"/>
  <c r="D51" i="17"/>
  <c r="L50" i="17" a="1"/>
  <c r="L50" i="17" s="1"/>
  <c r="K50" i="17" a="1"/>
  <c r="K50" i="17" s="1"/>
  <c r="M50" i="17" s="1"/>
  <c r="H50" i="17"/>
  <c r="E50" i="17"/>
  <c r="D50" i="17"/>
  <c r="L49" i="17" a="1"/>
  <c r="L49" i="17" s="1"/>
  <c r="K49" i="17" a="1"/>
  <c r="K49" i="17" s="1"/>
  <c r="M49" i="17" s="1"/>
  <c r="H49" i="17"/>
  <c r="E49" i="17"/>
  <c r="D49" i="17"/>
  <c r="L48" i="17" a="1"/>
  <c r="L48" i="17" s="1"/>
  <c r="K48" i="17" a="1"/>
  <c r="K48" i="17" s="1"/>
  <c r="M48" i="17" s="1"/>
  <c r="N48" i="17" s="1"/>
  <c r="H48" i="17"/>
  <c r="E48" i="17"/>
  <c r="D48" i="17"/>
  <c r="L47" i="17" a="1"/>
  <c r="L47" i="17" s="1"/>
  <c r="K47" i="17" a="1"/>
  <c r="K47" i="17" s="1"/>
  <c r="M47" i="17" s="1"/>
  <c r="N47" i="17" s="1"/>
  <c r="H47" i="17"/>
  <c r="E47" i="17"/>
  <c r="D47" i="17"/>
  <c r="L46" i="17" a="1"/>
  <c r="L46" i="17" s="1"/>
  <c r="K46" i="17" a="1"/>
  <c r="K46" i="17" s="1"/>
  <c r="M46" i="17" s="1"/>
  <c r="H46" i="17"/>
  <c r="E46" i="17"/>
  <c r="D46" i="17"/>
  <c r="L45" i="17" a="1"/>
  <c r="L45" i="17" s="1"/>
  <c r="K45" i="17" a="1"/>
  <c r="K45" i="17" s="1"/>
  <c r="M45" i="17" s="1"/>
  <c r="H45" i="17"/>
  <c r="E45" i="17"/>
  <c r="D45" i="17"/>
  <c r="L44" i="17" a="1"/>
  <c r="L44" i="17" s="1"/>
  <c r="K44" i="17" a="1"/>
  <c r="K44" i="17" s="1"/>
  <c r="M44" i="17" s="1"/>
  <c r="H44" i="17"/>
  <c r="E44" i="17"/>
  <c r="D44" i="17"/>
  <c r="L43" i="17" a="1"/>
  <c r="L43" i="17" s="1"/>
  <c r="K43" i="17" a="1"/>
  <c r="K43" i="17" s="1"/>
  <c r="M43" i="17" s="1"/>
  <c r="H43" i="17"/>
  <c r="E43" i="17"/>
  <c r="D43" i="17"/>
  <c r="L42" i="17" a="1"/>
  <c r="L42" i="17" s="1"/>
  <c r="K42" i="17" a="1"/>
  <c r="K42" i="17" s="1"/>
  <c r="M42" i="17" s="1"/>
  <c r="H42" i="17"/>
  <c r="E42" i="17"/>
  <c r="D42" i="17"/>
  <c r="L41" i="17" a="1"/>
  <c r="L41" i="17" s="1"/>
  <c r="K41" i="17" a="1"/>
  <c r="K41" i="17" s="1"/>
  <c r="M41" i="17" s="1"/>
  <c r="H41" i="17"/>
  <c r="E41" i="17"/>
  <c r="D41" i="17"/>
  <c r="L40" i="17" a="1"/>
  <c r="L40" i="17" s="1"/>
  <c r="K40" i="17" a="1"/>
  <c r="K40" i="17" s="1"/>
  <c r="M40" i="17" s="1"/>
  <c r="H40" i="17"/>
  <c r="E40" i="17"/>
  <c r="D40" i="17"/>
  <c r="L39" i="17" a="1"/>
  <c r="L39" i="17" s="1"/>
  <c r="K39" i="17" a="1"/>
  <c r="K39" i="17" s="1"/>
  <c r="M39" i="17" s="1"/>
  <c r="H39" i="17"/>
  <c r="E39" i="17"/>
  <c r="D39" i="17"/>
  <c r="L38" i="17" a="1"/>
  <c r="L38" i="17" s="1"/>
  <c r="K38" i="17" a="1"/>
  <c r="K38" i="17" s="1"/>
  <c r="M38" i="17" s="1"/>
  <c r="H38" i="17"/>
  <c r="E38" i="17"/>
  <c r="D38" i="17"/>
  <c r="L37" i="17" a="1"/>
  <c r="L37" i="17" s="1"/>
  <c r="K37" i="17" a="1"/>
  <c r="K37" i="17" s="1"/>
  <c r="M37" i="17" s="1"/>
  <c r="N37" i="17" s="1"/>
  <c r="H37" i="17"/>
  <c r="E37" i="17"/>
  <c r="D37" i="17"/>
  <c r="L36" i="17" a="1"/>
  <c r="L36" i="17" s="1"/>
  <c r="K36" i="17" a="1"/>
  <c r="K36" i="17" s="1"/>
  <c r="M36" i="17" s="1"/>
  <c r="H36" i="17"/>
  <c r="E36" i="17"/>
  <c r="D36" i="17"/>
  <c r="L35" i="17" a="1"/>
  <c r="L35" i="17" s="1"/>
  <c r="K35" i="17" a="1"/>
  <c r="K35" i="17" s="1"/>
  <c r="M35" i="17" s="1"/>
  <c r="H35" i="17"/>
  <c r="E35" i="17"/>
  <c r="D35" i="17"/>
  <c r="L34" i="17" a="1"/>
  <c r="L34" i="17" s="1"/>
  <c r="K34" i="17" a="1"/>
  <c r="K34" i="17" s="1"/>
  <c r="M34" i="17" s="1"/>
  <c r="H34" i="17"/>
  <c r="E34" i="17"/>
  <c r="D34" i="17"/>
  <c r="L33" i="17" a="1"/>
  <c r="L33" i="17" s="1"/>
  <c r="K33" i="17" a="1"/>
  <c r="K33" i="17" s="1"/>
  <c r="M33" i="17" s="1"/>
  <c r="H33" i="17"/>
  <c r="E33" i="17"/>
  <c r="D33" i="17"/>
  <c r="L32" i="17" a="1"/>
  <c r="L32" i="17" s="1"/>
  <c r="K32" i="17" a="1"/>
  <c r="K32" i="17" s="1"/>
  <c r="M32" i="17" s="1"/>
  <c r="H32" i="17"/>
  <c r="E32" i="17"/>
  <c r="D32" i="17"/>
  <c r="L31" i="17" a="1"/>
  <c r="L31" i="17" s="1"/>
  <c r="N31" i="17" s="1"/>
  <c r="K31" i="17" a="1"/>
  <c r="K31" i="17" s="1"/>
  <c r="M31" i="17" s="1"/>
  <c r="H31" i="17"/>
  <c r="E31" i="17"/>
  <c r="D31" i="17"/>
  <c r="L30" i="17" a="1"/>
  <c r="L30" i="17" s="1"/>
  <c r="K30" i="17" a="1"/>
  <c r="K30" i="17" s="1"/>
  <c r="M30" i="17" s="1"/>
  <c r="H30" i="17"/>
  <c r="E30" i="17"/>
  <c r="D30" i="17"/>
  <c r="L29" i="17" a="1"/>
  <c r="L29" i="17" s="1"/>
  <c r="K29" i="17" a="1"/>
  <c r="K29" i="17" s="1"/>
  <c r="M29" i="17" s="1"/>
  <c r="H29" i="17"/>
  <c r="E29" i="17"/>
  <c r="D29" i="17"/>
  <c r="L28" i="17" a="1"/>
  <c r="L28" i="17" s="1"/>
  <c r="K28" i="17" a="1"/>
  <c r="K28" i="17" s="1"/>
  <c r="M28" i="17" s="1"/>
  <c r="H28" i="17"/>
  <c r="E28" i="17"/>
  <c r="D28" i="17"/>
  <c r="L27" i="17" a="1"/>
  <c r="L27" i="17" s="1"/>
  <c r="K27" i="17" a="1"/>
  <c r="K27" i="17" s="1"/>
  <c r="M27" i="17" s="1"/>
  <c r="H27" i="17"/>
  <c r="E27" i="17"/>
  <c r="D27" i="17"/>
  <c r="L26" i="17" a="1"/>
  <c r="L26" i="17" s="1"/>
  <c r="K26" i="17" a="1"/>
  <c r="K26" i="17" s="1"/>
  <c r="M26" i="17" s="1"/>
  <c r="H26" i="17"/>
  <c r="E26" i="17"/>
  <c r="D26" i="17"/>
  <c r="L25" i="17" a="1"/>
  <c r="L25" i="17" s="1"/>
  <c r="K25" i="17" a="1"/>
  <c r="K25" i="17" s="1"/>
  <c r="M25" i="17" s="1"/>
  <c r="N25" i="17" s="1"/>
  <c r="H25" i="17"/>
  <c r="E25" i="17"/>
  <c r="D25" i="17"/>
  <c r="L24" i="17" a="1"/>
  <c r="L24" i="17" s="1"/>
  <c r="K24" i="17" a="1"/>
  <c r="K24" i="17" s="1"/>
  <c r="M24" i="17" s="1"/>
  <c r="H24" i="17"/>
  <c r="E24" i="17"/>
  <c r="D24" i="17"/>
  <c r="L23" i="17" a="1"/>
  <c r="L23" i="17" s="1"/>
  <c r="K23" i="17" a="1"/>
  <c r="K23" i="17" s="1"/>
  <c r="H23" i="17"/>
  <c r="E23" i="17"/>
  <c r="D23" i="17"/>
  <c r="L22" i="17" a="1"/>
  <c r="L22" i="17" s="1"/>
  <c r="K22" i="17" a="1"/>
  <c r="K22" i="17" s="1"/>
  <c r="M22" i="17" s="1"/>
  <c r="H22" i="17"/>
  <c r="E22" i="17"/>
  <c r="D22" i="17"/>
  <c r="L21" i="17" a="1"/>
  <c r="L21" i="17" s="1"/>
  <c r="K21" i="17" a="1"/>
  <c r="K21" i="17" s="1"/>
  <c r="H21" i="17"/>
  <c r="E21" i="17"/>
  <c r="D21" i="17"/>
  <c r="L20" i="17" a="1"/>
  <c r="L20" i="17" s="1"/>
  <c r="K20" i="17" a="1"/>
  <c r="K20" i="17" s="1"/>
  <c r="M20" i="17" s="1"/>
  <c r="H20" i="17"/>
  <c r="E20" i="17"/>
  <c r="D20" i="17"/>
  <c r="L19" i="17" a="1"/>
  <c r="L19" i="17" s="1"/>
  <c r="K19" i="17" a="1"/>
  <c r="K19" i="17" s="1"/>
  <c r="M19" i="17" s="1"/>
  <c r="H19" i="17"/>
  <c r="E19" i="17"/>
  <c r="D19" i="17"/>
  <c r="L18" i="17" a="1"/>
  <c r="L18" i="17" s="1"/>
  <c r="K18" i="17" a="1"/>
  <c r="K18" i="17" s="1"/>
  <c r="H18" i="17"/>
  <c r="E18" i="17"/>
  <c r="D18" i="17"/>
  <c r="L17" i="17" a="1"/>
  <c r="L17" i="17" s="1"/>
  <c r="K17" i="17" a="1"/>
  <c r="K17" i="17" s="1"/>
  <c r="M17" i="17" s="1"/>
  <c r="N17" i="17" s="1"/>
  <c r="H17" i="17"/>
  <c r="E17" i="17"/>
  <c r="D17" i="17"/>
  <c r="L16" i="17" a="1"/>
  <c r="L16" i="17" s="1"/>
  <c r="K16" i="17" a="1"/>
  <c r="K16" i="17" s="1"/>
  <c r="M16" i="17" s="1"/>
  <c r="H16" i="17"/>
  <c r="E16" i="17"/>
  <c r="D16" i="17"/>
  <c r="L15" i="17" a="1"/>
  <c r="L15" i="17" s="1"/>
  <c r="K15" i="17" a="1"/>
  <c r="K15" i="17" s="1"/>
  <c r="M15" i="17" s="1"/>
  <c r="H15" i="17"/>
  <c r="E15" i="17"/>
  <c r="D15" i="17"/>
  <c r="L14" i="17" a="1"/>
  <c r="L14" i="17" s="1"/>
  <c r="K14" i="17" a="1"/>
  <c r="K14" i="17" s="1"/>
  <c r="M14" i="17" s="1"/>
  <c r="N14" i="17" s="1"/>
  <c r="H14" i="17"/>
  <c r="E14" i="17"/>
  <c r="D14" i="17"/>
  <c r="L13" i="17" a="1"/>
  <c r="L13" i="17" s="1"/>
  <c r="K13" i="17" a="1"/>
  <c r="K13" i="17" s="1"/>
  <c r="M13" i="17" s="1"/>
  <c r="H13" i="17"/>
  <c r="E13" i="17"/>
  <c r="D13" i="17"/>
  <c r="L12" i="17" a="1"/>
  <c r="L12" i="17" s="1"/>
  <c r="K12" i="17" a="1"/>
  <c r="K12" i="17" s="1"/>
  <c r="M12" i="17" s="1"/>
  <c r="H12" i="17"/>
  <c r="E12" i="17"/>
  <c r="D12" i="17"/>
  <c r="L11" i="17" a="1"/>
  <c r="L11" i="17" s="1"/>
  <c r="K11" i="17" a="1"/>
  <c r="K11" i="17" s="1"/>
  <c r="M11" i="17" s="1"/>
  <c r="H11" i="17"/>
  <c r="E11" i="17"/>
  <c r="D11" i="17"/>
  <c r="L10" i="17" a="1"/>
  <c r="L10" i="17" s="1"/>
  <c r="K10" i="17" a="1"/>
  <c r="K10" i="17" s="1"/>
  <c r="M10" i="17" s="1"/>
  <c r="H10" i="17"/>
  <c r="E10" i="17"/>
  <c r="D10" i="17"/>
  <c r="L9" i="17" a="1"/>
  <c r="L9" i="17" s="1"/>
  <c r="K9" i="17" a="1"/>
  <c r="K9" i="17" s="1"/>
  <c r="M9" i="17" s="1"/>
  <c r="H9" i="17"/>
  <c r="E9" i="17"/>
  <c r="D9" i="17"/>
  <c r="L8" i="17" a="1"/>
  <c r="L8" i="17" s="1"/>
  <c r="K8" i="17" a="1"/>
  <c r="K8" i="17" s="1"/>
  <c r="M8" i="17" s="1"/>
  <c r="H8" i="17"/>
  <c r="E8" i="17"/>
  <c r="D8" i="17"/>
  <c r="L7" i="17" a="1"/>
  <c r="L7" i="17" s="1"/>
  <c r="K7" i="17" a="1"/>
  <c r="K7" i="17" s="1"/>
  <c r="M7" i="17" s="1"/>
  <c r="H7" i="17"/>
  <c r="E7" i="17"/>
  <c r="D7" i="17"/>
  <c r="L6" i="17" a="1"/>
  <c r="L6" i="17" s="1"/>
  <c r="K6" i="17" a="1"/>
  <c r="K6" i="17" s="1"/>
  <c r="M6" i="17" s="1"/>
  <c r="H6" i="17"/>
  <c r="E6" i="17"/>
  <c r="D6" i="17"/>
  <c r="L5" i="17" a="1"/>
  <c r="L5" i="17" s="1"/>
  <c r="K5" i="17" a="1"/>
  <c r="K5" i="17" s="1"/>
  <c r="M5" i="17" s="1"/>
  <c r="H5" i="17"/>
  <c r="E5" i="17"/>
  <c r="D5" i="17"/>
  <c r="L4" i="17" a="1"/>
  <c r="L4" i="17" s="1"/>
  <c r="K4" i="17" a="1"/>
  <c r="K4" i="17" s="1"/>
  <c r="M4" i="17" s="1"/>
  <c r="H4" i="17"/>
  <c r="E4" i="17"/>
  <c r="D4" i="17"/>
  <c r="L3" i="17" a="1"/>
  <c r="L3" i="17" s="1"/>
  <c r="K3" i="17" a="1"/>
  <c r="K3" i="17" s="1"/>
  <c r="M3" i="17" s="1"/>
  <c r="H3" i="17"/>
  <c r="E3" i="17"/>
  <c r="D3" i="17"/>
  <c r="L2" i="17" a="1"/>
  <c r="L2" i="17" s="1"/>
  <c r="N2" i="17" s="1"/>
  <c r="K2" i="17" a="1"/>
  <c r="K2" i="17" s="1"/>
  <c r="M2" i="17" s="1"/>
  <c r="H2" i="17"/>
  <c r="E2" i="17"/>
  <c r="D2" i="17"/>
  <c r="K2" i="4"/>
  <c r="K14" i="4"/>
  <c r="K15" i="4"/>
  <c r="K16" i="4"/>
  <c r="K17" i="4"/>
  <c r="K18" i="4"/>
  <c r="K19" i="4"/>
  <c r="K20" i="4"/>
  <c r="K21" i="4"/>
  <c r="K22" i="4"/>
  <c r="K23" i="4"/>
  <c r="K24" i="4"/>
  <c r="K25" i="4"/>
  <c r="K13" i="4"/>
  <c r="K3" i="4"/>
  <c r="K4" i="4"/>
  <c r="K5" i="4"/>
  <c r="K6" i="4"/>
  <c r="K7" i="4"/>
  <c r="K8" i="4"/>
  <c r="K9" i="4"/>
  <c r="K10" i="4"/>
  <c r="K11" i="4"/>
  <c r="K12" i="4"/>
  <c r="G2" i="4"/>
  <c r="F2" i="4"/>
  <c r="E14" i="4"/>
  <c r="E16" i="4"/>
  <c r="E17" i="4"/>
  <c r="E19" i="4"/>
  <c r="E20" i="4"/>
  <c r="E21" i="4"/>
  <c r="E22" i="4"/>
  <c r="E3" i="4"/>
  <c r="E4" i="4"/>
  <c r="E7" i="4"/>
  <c r="E8" i="4"/>
  <c r="E9" i="4"/>
  <c r="E11" i="4"/>
  <c r="E2" i="4"/>
  <c r="D2" i="4"/>
  <c r="D14" i="4"/>
  <c r="D16" i="4"/>
  <c r="D17" i="4"/>
  <c r="D19" i="4"/>
  <c r="D20" i="4"/>
  <c r="D21" i="4"/>
  <c r="D22" i="4"/>
  <c r="D3" i="4"/>
  <c r="D4" i="4"/>
  <c r="D7" i="4"/>
  <c r="H7" i="4" s="1"/>
  <c r="D8" i="4"/>
  <c r="D9" i="4"/>
  <c r="D11" i="4"/>
  <c r="H11" i="4" s="1"/>
  <c r="AC169" i="10" a="1"/>
  <c r="AC169" i="10" s="1"/>
  <c r="AC170" i="10" a="1"/>
  <c r="AC170" i="10" s="1"/>
  <c r="AC171" i="10" a="1"/>
  <c r="AC171" i="10" s="1"/>
  <c r="AC172" i="10" a="1"/>
  <c r="AC172" i="10" s="1"/>
  <c r="AC173" i="10" a="1"/>
  <c r="AC173" i="10" s="1"/>
  <c r="AC174" i="10" a="1"/>
  <c r="AC174" i="10" s="1"/>
  <c r="AC175" i="10" a="1"/>
  <c r="AC175" i="10" s="1"/>
  <c r="AC176" i="10" a="1"/>
  <c r="AC176" i="10" s="1"/>
  <c r="AC177" i="10" a="1"/>
  <c r="AC177" i="10" s="1"/>
  <c r="AC178" i="10" a="1"/>
  <c r="AC178" i="10" s="1"/>
  <c r="AE178" i="10" s="1" a="1"/>
  <c r="AE178" i="10" s="1"/>
  <c r="AC179" i="10" a="1"/>
  <c r="AC179" i="10" s="1"/>
  <c r="AE179" i="10" s="1" a="1"/>
  <c r="AE179" i="10" s="1"/>
  <c r="AC180" i="10" a="1"/>
  <c r="AC180" i="10" s="1"/>
  <c r="AE180" i="10" s="1" a="1"/>
  <c r="AE180" i="10" s="1"/>
  <c r="AC181" i="10" a="1"/>
  <c r="AC181" i="10" s="1"/>
  <c r="AE181" i="10" s="1" a="1"/>
  <c r="AE181" i="10" s="1"/>
  <c r="AC182" i="10" a="1"/>
  <c r="AC182" i="10" s="1"/>
  <c r="AE182" i="10" s="1" a="1"/>
  <c r="AE182" i="10" s="1"/>
  <c r="AC183" i="10" a="1"/>
  <c r="AC183" i="10" s="1"/>
  <c r="AE183" i="10" s="1" a="1"/>
  <c r="AE183" i="10" s="1"/>
  <c r="AC184" i="10" a="1"/>
  <c r="AC184" i="10" s="1"/>
  <c r="AE184" i="10" s="1" a="1"/>
  <c r="AE184" i="10" s="1"/>
  <c r="AC185" i="10" a="1"/>
  <c r="AC185" i="10" s="1"/>
  <c r="AE185" i="10" s="1" a="1"/>
  <c r="AE185" i="10" s="1"/>
  <c r="AC186" i="10" a="1"/>
  <c r="AC186" i="10" s="1"/>
  <c r="AE186" i="10" s="1" a="1"/>
  <c r="AE186" i="10" s="1"/>
  <c r="AC187" i="10" a="1"/>
  <c r="AC187" i="10" s="1"/>
  <c r="AE187" i="10" s="1" a="1"/>
  <c r="AE187" i="10" s="1"/>
  <c r="AC188" i="10" a="1"/>
  <c r="AC188" i="10" s="1"/>
  <c r="AE188" i="10" s="1" a="1"/>
  <c r="AE188" i="10" s="1"/>
  <c r="AC189" i="10" a="1"/>
  <c r="AC189" i="10" s="1"/>
  <c r="AE189" i="10" s="1" a="1"/>
  <c r="AE189" i="10" s="1"/>
  <c r="AC190" i="10" a="1"/>
  <c r="AC190" i="10" s="1"/>
  <c r="AE190" i="10" s="1" a="1"/>
  <c r="AE190" i="10" s="1"/>
  <c r="AC191" i="10" a="1"/>
  <c r="AC191" i="10" s="1"/>
  <c r="AC192" i="10" a="1"/>
  <c r="AC192" i="10" s="1"/>
  <c r="AC193" i="10" a="1"/>
  <c r="AC193" i="10" s="1"/>
  <c r="AC194" i="10" a="1"/>
  <c r="AC194" i="10" s="1"/>
  <c r="AC195" i="10" a="1"/>
  <c r="AC195" i="10" s="1"/>
  <c r="AC196" i="10" a="1"/>
  <c r="AC196" i="10" s="1"/>
  <c r="AC197" i="10" a="1"/>
  <c r="AC197" i="10" s="1"/>
  <c r="AC198" i="10" a="1"/>
  <c r="AC198" i="10" s="1"/>
  <c r="AC199" i="10" a="1"/>
  <c r="AC199" i="10" s="1"/>
  <c r="AC200" i="10" a="1"/>
  <c r="AC200" i="10" s="1"/>
  <c r="AC201" i="10" a="1"/>
  <c r="AC201" i="10" s="1"/>
  <c r="AE201" i="10" s="1" a="1"/>
  <c r="AE201" i="10" s="1"/>
  <c r="AC202" i="10" a="1"/>
  <c r="AC202" i="10" s="1"/>
  <c r="AE202" i="10" s="1" a="1"/>
  <c r="AE202" i="10" s="1"/>
  <c r="AC203" i="10" a="1"/>
  <c r="AC203" i="10" s="1"/>
  <c r="AE203" i="10" s="1" a="1"/>
  <c r="AE203" i="10" s="1"/>
  <c r="AC204" i="10" a="1"/>
  <c r="AC204" i="10" s="1"/>
  <c r="AE204" i="10" s="1" a="1"/>
  <c r="AE204" i="10" s="1"/>
  <c r="AC205" i="10" a="1"/>
  <c r="AC205" i="10" s="1"/>
  <c r="AE205" i="10" s="1" a="1"/>
  <c r="AE205" i="10" s="1"/>
  <c r="AC206" i="10" a="1"/>
  <c r="AC206" i="10" s="1"/>
  <c r="AE206" i="10" s="1" a="1"/>
  <c r="AE206" i="10" s="1"/>
  <c r="AC207" i="10" a="1"/>
  <c r="AC207" i="10" s="1"/>
  <c r="AE207" i="10" s="1" a="1"/>
  <c r="AE207" i="10" s="1"/>
  <c r="AC208" i="10" a="1"/>
  <c r="AC208" i="10" s="1"/>
  <c r="AE208" i="10" s="1" a="1"/>
  <c r="AE208" i="10" s="1"/>
  <c r="AC209" i="10" a="1"/>
  <c r="AC209" i="10" s="1"/>
  <c r="AE209" i="10" s="1" a="1"/>
  <c r="AE209" i="10" s="1"/>
  <c r="AC210" i="10" a="1"/>
  <c r="AC210" i="10" s="1"/>
  <c r="AE210" i="10" s="1" a="1"/>
  <c r="AE210" i="10" s="1"/>
  <c r="AC211" i="10" a="1"/>
  <c r="AC211" i="10" s="1"/>
  <c r="AE211" i="10" s="1" a="1"/>
  <c r="AE211" i="10" s="1"/>
  <c r="AC212" i="10" a="1"/>
  <c r="AC212" i="10" s="1"/>
  <c r="AC213" i="10" a="1"/>
  <c r="AC213" i="10" s="1"/>
  <c r="AC214" i="10" a="1"/>
  <c r="AC214" i="10" s="1"/>
  <c r="AC215" i="10" a="1"/>
  <c r="AC215" i="10" s="1"/>
  <c r="AC216" i="10" a="1"/>
  <c r="AC216" i="10" s="1"/>
  <c r="AC217" i="10" a="1"/>
  <c r="AC217" i="10" s="1"/>
  <c r="AC218" i="10" a="1"/>
  <c r="AC218" i="10" s="1"/>
  <c r="AC219" i="10" a="1"/>
  <c r="AC219" i="10" s="1"/>
  <c r="AC220" i="10" a="1"/>
  <c r="AC220" i="10" s="1"/>
  <c r="AC221" i="10" a="1"/>
  <c r="AC221" i="10" s="1"/>
  <c r="AC222" i="10" a="1"/>
  <c r="AC222" i="10" s="1"/>
  <c r="AE222" i="10" s="1" a="1"/>
  <c r="AE222" i="10" s="1"/>
  <c r="AC223" i="10" a="1"/>
  <c r="AC223" i="10" s="1"/>
  <c r="AE223" i="10" s="1" a="1"/>
  <c r="AE223" i="10" s="1"/>
  <c r="AC224" i="10" a="1"/>
  <c r="AC224" i="10" s="1"/>
  <c r="AE224" i="10" s="1" a="1"/>
  <c r="AE224" i="10" s="1"/>
  <c r="AC225" i="10" a="1"/>
  <c r="AC225" i="10" s="1"/>
  <c r="AE225" i="10" s="1" a="1"/>
  <c r="AE225" i="10" s="1"/>
  <c r="AC226" i="10" a="1"/>
  <c r="AC226" i="10" s="1"/>
  <c r="AE226" i="10" s="1" a="1"/>
  <c r="AE226" i="10" s="1"/>
  <c r="AC227" i="10" a="1"/>
  <c r="AC227" i="10" s="1"/>
  <c r="AE227" i="10" s="1" a="1"/>
  <c r="AE227" i="10" s="1"/>
  <c r="AC228" i="10" a="1"/>
  <c r="AC228" i="10" s="1"/>
  <c r="AE228" i="10" s="1" a="1"/>
  <c r="AE228" i="10" s="1"/>
  <c r="AC229" i="10" a="1"/>
  <c r="AC229" i="10" s="1"/>
  <c r="AE229" i="10" s="1" a="1"/>
  <c r="AE229" i="10" s="1"/>
  <c r="AC230" i="10" a="1"/>
  <c r="AC230" i="10" s="1"/>
  <c r="AE230" i="10" s="1" a="1"/>
  <c r="AE230" i="10" s="1"/>
  <c r="AC231" i="10" a="1"/>
  <c r="AC231" i="10" s="1"/>
  <c r="AE231" i="10" s="1" a="1"/>
  <c r="AE231" i="10" s="1"/>
  <c r="AC232" i="10" a="1"/>
  <c r="AC232" i="10" s="1"/>
  <c r="AE232" i="10" s="1" a="1"/>
  <c r="AE232" i="10" s="1"/>
  <c r="AC233" i="10" a="1"/>
  <c r="AC233" i="10" s="1"/>
  <c r="AC234" i="10" a="1"/>
  <c r="AC234" i="10" s="1"/>
  <c r="AC235" i="10" a="1"/>
  <c r="AC235" i="10" s="1"/>
  <c r="AC236" i="10" a="1"/>
  <c r="AC236" i="10" s="1"/>
  <c r="AC237" i="10" a="1"/>
  <c r="AC237" i="10" s="1"/>
  <c r="AC238" i="10" a="1"/>
  <c r="AC238" i="10" s="1"/>
  <c r="AC239" i="10" a="1"/>
  <c r="AC239" i="10" s="1"/>
  <c r="AC240" i="10" a="1"/>
  <c r="AC240" i="10" s="1"/>
  <c r="AC241" i="10" a="1"/>
  <c r="AC241" i="10" s="1"/>
  <c r="AC242" i="10" a="1"/>
  <c r="AC242" i="10" s="1"/>
  <c r="AB168" i="10" a="1"/>
  <c r="AB168" i="10" s="1"/>
  <c r="AB169" i="10" a="1"/>
  <c r="AB169" i="10" s="1"/>
  <c r="AB170" i="10" a="1"/>
  <c r="AB170" i="10" s="1"/>
  <c r="AB171" i="10" a="1"/>
  <c r="AB171" i="10" s="1"/>
  <c r="AB172" i="10" a="1"/>
  <c r="AB172" i="10" s="1"/>
  <c r="AB173" i="10" a="1"/>
  <c r="AB173" i="10" s="1"/>
  <c r="AB174" i="10" a="1"/>
  <c r="AB174" i="10" s="1"/>
  <c r="AB175" i="10" a="1"/>
  <c r="AB175" i="10" s="1"/>
  <c r="AB176" i="10" a="1"/>
  <c r="AB176" i="10" s="1"/>
  <c r="AB177" i="10" a="1"/>
  <c r="AB177" i="10" s="1"/>
  <c r="AB178" i="10" a="1"/>
  <c r="AB178" i="10" s="1"/>
  <c r="AB179" i="10" a="1"/>
  <c r="AB179" i="10" s="1"/>
  <c r="AB180" i="10" a="1"/>
  <c r="AB180" i="10" s="1"/>
  <c r="AB181" i="10" a="1"/>
  <c r="AB181" i="10" s="1"/>
  <c r="AB182" i="10" a="1"/>
  <c r="AB182" i="10" s="1"/>
  <c r="AB183" i="10" a="1"/>
  <c r="AB183" i="10" s="1"/>
  <c r="AB184" i="10" a="1"/>
  <c r="AB184" i="10" s="1"/>
  <c r="AB185" i="10" a="1"/>
  <c r="AB185" i="10" s="1"/>
  <c r="AB186" i="10" a="1"/>
  <c r="AB186" i="10" s="1"/>
  <c r="AB187" i="10" a="1"/>
  <c r="AB187" i="10" s="1"/>
  <c r="AB188" i="10" a="1"/>
  <c r="AB188" i="10" s="1"/>
  <c r="AB189" i="10" a="1"/>
  <c r="AB189" i="10" s="1"/>
  <c r="AB190" i="10" a="1"/>
  <c r="AB190" i="10" s="1"/>
  <c r="AB191" i="10" a="1"/>
  <c r="AB191" i="10" s="1"/>
  <c r="AB192" i="10" a="1"/>
  <c r="AB192" i="10" s="1"/>
  <c r="AB193" i="10" a="1"/>
  <c r="AB193" i="10" s="1"/>
  <c r="AB194" i="10" a="1"/>
  <c r="AB194" i="10" s="1"/>
  <c r="AB195" i="10" a="1"/>
  <c r="AB195" i="10" s="1"/>
  <c r="AB196" i="10" a="1"/>
  <c r="AB196" i="10" s="1"/>
  <c r="AB197" i="10" a="1"/>
  <c r="AB197" i="10" s="1"/>
  <c r="AB198" i="10" a="1"/>
  <c r="AB198" i="10" s="1"/>
  <c r="AB199" i="10" a="1"/>
  <c r="AB199" i="10" s="1"/>
  <c r="AB200" i="10" a="1"/>
  <c r="AB200" i="10" s="1"/>
  <c r="AB201" i="10" a="1"/>
  <c r="AB201" i="10" s="1"/>
  <c r="AB202" i="10" a="1"/>
  <c r="AB202" i="10" s="1"/>
  <c r="AB203" i="10" a="1"/>
  <c r="AB203" i="10" s="1"/>
  <c r="AB204" i="10" a="1"/>
  <c r="AB204" i="10" s="1"/>
  <c r="AB205" i="10" a="1"/>
  <c r="AB205" i="10" s="1"/>
  <c r="AB206" i="10" a="1"/>
  <c r="AB206" i="10" s="1"/>
  <c r="AB207" i="10" a="1"/>
  <c r="AB207" i="10" s="1"/>
  <c r="AB208" i="10" a="1"/>
  <c r="AB208" i="10" s="1"/>
  <c r="AB209" i="10" a="1"/>
  <c r="AB209" i="10" s="1"/>
  <c r="AB210" i="10" a="1"/>
  <c r="AB210" i="10" s="1"/>
  <c r="AB211" i="10" a="1"/>
  <c r="AB211" i="10" s="1"/>
  <c r="AB212" i="10" a="1"/>
  <c r="AB212" i="10" s="1"/>
  <c r="AB213" i="10" a="1"/>
  <c r="AB213" i="10" s="1"/>
  <c r="AB214" i="10" a="1"/>
  <c r="AB214" i="10" s="1"/>
  <c r="AB215" i="10" a="1"/>
  <c r="AB215" i="10" s="1"/>
  <c r="AB216" i="10" a="1"/>
  <c r="AB216" i="10" s="1"/>
  <c r="AB217" i="10" a="1"/>
  <c r="AB217" i="10" s="1"/>
  <c r="AB218" i="10" a="1"/>
  <c r="AB218" i="10" s="1"/>
  <c r="AB219" i="10" a="1"/>
  <c r="AB219" i="10" s="1"/>
  <c r="AB220" i="10" a="1"/>
  <c r="AB220" i="10" s="1"/>
  <c r="AB221" i="10" a="1"/>
  <c r="AB221" i="10" s="1"/>
  <c r="AB222" i="10" a="1"/>
  <c r="AB222" i="10" s="1"/>
  <c r="AB223" i="10" a="1"/>
  <c r="AB223" i="10" s="1"/>
  <c r="AB224" i="10" a="1"/>
  <c r="AB224" i="10" s="1"/>
  <c r="AB225" i="10" a="1"/>
  <c r="AB225" i="10" s="1"/>
  <c r="AB226" i="10" a="1"/>
  <c r="AB226" i="10" s="1"/>
  <c r="AB227" i="10" a="1"/>
  <c r="AB227" i="10" s="1"/>
  <c r="AB228" i="10" a="1"/>
  <c r="AB228" i="10" s="1"/>
  <c r="AB229" i="10" a="1"/>
  <c r="AB229" i="10" s="1"/>
  <c r="AB230" i="10" a="1"/>
  <c r="AB230" i="10" s="1"/>
  <c r="AB231" i="10" a="1"/>
  <c r="AB231" i="10" s="1"/>
  <c r="AB232" i="10" a="1"/>
  <c r="AB232" i="10" s="1"/>
  <c r="AB233" i="10" a="1"/>
  <c r="AB233" i="10" s="1"/>
  <c r="AB234" i="10" a="1"/>
  <c r="AB234" i="10" s="1"/>
  <c r="AB235" i="10" a="1"/>
  <c r="AB235" i="10" s="1"/>
  <c r="AB236" i="10" a="1"/>
  <c r="AB236" i="10" s="1"/>
  <c r="AB237" i="10" a="1"/>
  <c r="AB237" i="10" s="1"/>
  <c r="AB238" i="10" a="1"/>
  <c r="AB238" i="10" s="1"/>
  <c r="AB239" i="10" a="1"/>
  <c r="AB239" i="10" s="1"/>
  <c r="AB240" i="10" a="1"/>
  <c r="AB240" i="10" s="1"/>
  <c r="AB241" i="10" a="1"/>
  <c r="AB241" i="10" s="1"/>
  <c r="AB242" i="10" a="1"/>
  <c r="AB242" i="10" s="1"/>
  <c r="AB143" i="10" a="1"/>
  <c r="AB143" i="10" s="1"/>
  <c r="AB144" i="10" a="1"/>
  <c r="AB144" i="10" s="1"/>
  <c r="AB145" i="10" a="1"/>
  <c r="AB145" i="10" s="1"/>
  <c r="AB146" i="10" a="1"/>
  <c r="AB146" i="10" s="1"/>
  <c r="AB147" i="10" a="1"/>
  <c r="AB147" i="10" s="1"/>
  <c r="AB148" i="10" a="1"/>
  <c r="AB148" i="10" s="1"/>
  <c r="AB149" i="10" a="1"/>
  <c r="AB149" i="10" s="1"/>
  <c r="AB150" i="10" a="1"/>
  <c r="AB150" i="10" s="1"/>
  <c r="AB151" i="10" a="1"/>
  <c r="AB151" i="10" s="1"/>
  <c r="AB152" i="10" a="1"/>
  <c r="AB152" i="10" s="1"/>
  <c r="AB153" i="10" a="1"/>
  <c r="AB153" i="10" s="1"/>
  <c r="AB154" i="10" a="1"/>
  <c r="AB154" i="10" s="1"/>
  <c r="AB155" i="10" a="1"/>
  <c r="AB155" i="10" s="1"/>
  <c r="AB156" i="10" a="1"/>
  <c r="AB156" i="10" s="1"/>
  <c r="AB157" i="10" a="1"/>
  <c r="AB157" i="10" s="1"/>
  <c r="AB158" i="10" a="1"/>
  <c r="AB158" i="10" s="1"/>
  <c r="AB159" i="10" a="1"/>
  <c r="AB159" i="10" s="1"/>
  <c r="AB160" i="10" a="1"/>
  <c r="AB160" i="10" s="1"/>
  <c r="AB161" i="10" a="1"/>
  <c r="AB161" i="10" s="1"/>
  <c r="AB162" i="10" a="1"/>
  <c r="AB162" i="10" s="1"/>
  <c r="AB163" i="10" a="1"/>
  <c r="AB163" i="10" s="1"/>
  <c r="AB164" i="10" a="1"/>
  <c r="AB164" i="10" s="1"/>
  <c r="AB165" i="10" a="1"/>
  <c r="AB165" i="10" s="1"/>
  <c r="AB166" i="10" a="1"/>
  <c r="AB166" i="10" s="1"/>
  <c r="AB167" i="10" a="1"/>
  <c r="AB167" i="10" s="1"/>
  <c r="AA150" i="10" a="1"/>
  <c r="AA150" i="10" s="1"/>
  <c r="AA151" i="10" a="1"/>
  <c r="AA151" i="10" s="1"/>
  <c r="AA152" i="10" a="1"/>
  <c r="AA152" i="10" s="1"/>
  <c r="AA153" i="10" a="1"/>
  <c r="AA153" i="10" s="1"/>
  <c r="AA154" i="10" a="1"/>
  <c r="AA154" i="10" s="1"/>
  <c r="AA155" i="10" a="1"/>
  <c r="AA155" i="10" s="1"/>
  <c r="AA156" i="10" a="1"/>
  <c r="AA156" i="10" s="1"/>
  <c r="AA157" i="10" a="1"/>
  <c r="AA157" i="10" s="1"/>
  <c r="AA158" i="10" a="1"/>
  <c r="AA158" i="10" s="1"/>
  <c r="AA159" i="10" a="1"/>
  <c r="AA159" i="10" s="1"/>
  <c r="AA160" i="10" a="1"/>
  <c r="AA160" i="10" s="1"/>
  <c r="AA161" i="10" a="1"/>
  <c r="AA161" i="10" s="1"/>
  <c r="AA162" i="10" a="1"/>
  <c r="AA162" i="10" s="1"/>
  <c r="AA163" i="10" a="1"/>
  <c r="AA163" i="10" s="1"/>
  <c r="AA164" i="10" a="1"/>
  <c r="AA164" i="10" s="1"/>
  <c r="AA165" i="10" a="1"/>
  <c r="AA165" i="10" s="1"/>
  <c r="AA166" i="10" a="1"/>
  <c r="AA166" i="10" s="1"/>
  <c r="AA167" i="10" a="1"/>
  <c r="AA167" i="10" s="1"/>
  <c r="AA168" i="10" a="1"/>
  <c r="AA168" i="10" s="1"/>
  <c r="AA169" i="10" a="1"/>
  <c r="AA169" i="10" s="1"/>
  <c r="AA170" i="10" a="1"/>
  <c r="AA170" i="10" s="1"/>
  <c r="AA171" i="10" a="1"/>
  <c r="AA171" i="10" s="1"/>
  <c r="AA172" i="10" a="1"/>
  <c r="AA172" i="10" s="1"/>
  <c r="AA173" i="10" a="1"/>
  <c r="AA173" i="10" s="1"/>
  <c r="AA174" i="10" a="1"/>
  <c r="AA174" i="10" s="1"/>
  <c r="AA175" i="10" a="1"/>
  <c r="AA175" i="10" s="1"/>
  <c r="AA176" i="10" a="1"/>
  <c r="AA176" i="10" s="1"/>
  <c r="AA177" i="10" a="1"/>
  <c r="AA177" i="10" s="1"/>
  <c r="AA178" i="10" a="1"/>
  <c r="AA178" i="10" s="1"/>
  <c r="AA179" i="10" a="1"/>
  <c r="AA179" i="10" s="1"/>
  <c r="AA180" i="10" a="1"/>
  <c r="AA180" i="10" s="1"/>
  <c r="AA181" i="10" a="1"/>
  <c r="AA181" i="10" s="1"/>
  <c r="AA182" i="10" a="1"/>
  <c r="AA182" i="10" s="1"/>
  <c r="AA183" i="10" a="1"/>
  <c r="AA183" i="10" s="1"/>
  <c r="AA184" i="10" a="1"/>
  <c r="AA184" i="10" s="1"/>
  <c r="AA185" i="10" a="1"/>
  <c r="AA185" i="10" s="1"/>
  <c r="AA186" i="10" a="1"/>
  <c r="AA186" i="10" s="1"/>
  <c r="AA187" i="10" a="1"/>
  <c r="AA187" i="10" s="1"/>
  <c r="AA188" i="10" a="1"/>
  <c r="AA188" i="10" s="1"/>
  <c r="AA189" i="10" a="1"/>
  <c r="AA189" i="10" s="1"/>
  <c r="AA190" i="10" a="1"/>
  <c r="AA190" i="10" s="1"/>
  <c r="AA191" i="10" a="1"/>
  <c r="AA191" i="10" s="1"/>
  <c r="AA192" i="10" a="1"/>
  <c r="AA192" i="10" s="1"/>
  <c r="AA193" i="10" a="1"/>
  <c r="AA193" i="10" s="1"/>
  <c r="AA194" i="10" a="1"/>
  <c r="AA194" i="10" s="1"/>
  <c r="AA195" i="10" a="1"/>
  <c r="AA195" i="10" s="1"/>
  <c r="AA196" i="10" a="1"/>
  <c r="AA196" i="10" s="1"/>
  <c r="AA197" i="10" a="1"/>
  <c r="AA197" i="10" s="1"/>
  <c r="AA198" i="10" a="1"/>
  <c r="AA198" i="10" s="1"/>
  <c r="AA199" i="10" a="1"/>
  <c r="AA199" i="10" s="1"/>
  <c r="AA200" i="10" a="1"/>
  <c r="AA200" i="10" s="1"/>
  <c r="AA201" i="10" a="1"/>
  <c r="AA201" i="10" s="1"/>
  <c r="AA202" i="10" a="1"/>
  <c r="AA202" i="10" s="1"/>
  <c r="AA203" i="10" a="1"/>
  <c r="AA203" i="10" s="1"/>
  <c r="AA204" i="10" a="1"/>
  <c r="AA204" i="10" s="1"/>
  <c r="AA205" i="10" a="1"/>
  <c r="AA205" i="10" s="1"/>
  <c r="AA206" i="10" a="1"/>
  <c r="AA206" i="10" s="1"/>
  <c r="AA207" i="10" a="1"/>
  <c r="AA207" i="10" s="1"/>
  <c r="AA208" i="10" a="1"/>
  <c r="AA208" i="10" s="1"/>
  <c r="AA209" i="10" a="1"/>
  <c r="AA209" i="10" s="1"/>
  <c r="AA210" i="10" a="1"/>
  <c r="AA210" i="10" s="1"/>
  <c r="AA211" i="10" a="1"/>
  <c r="AA211" i="10" s="1"/>
  <c r="AA212" i="10" a="1"/>
  <c r="AA212" i="10" s="1"/>
  <c r="AA213" i="10" a="1"/>
  <c r="AA213" i="10" s="1"/>
  <c r="AA214" i="10" a="1"/>
  <c r="AA214" i="10" s="1"/>
  <c r="AA215" i="10" a="1"/>
  <c r="AA215" i="10" s="1"/>
  <c r="AA216" i="10" a="1"/>
  <c r="AA216" i="10" s="1"/>
  <c r="AA217" i="10" a="1"/>
  <c r="AA217" i="10" s="1"/>
  <c r="AA218" i="10" a="1"/>
  <c r="AA218" i="10" s="1"/>
  <c r="AA219" i="10" a="1"/>
  <c r="AA219" i="10" s="1"/>
  <c r="AA220" i="10" a="1"/>
  <c r="AA220" i="10" s="1"/>
  <c r="AA221" i="10" a="1"/>
  <c r="AA221" i="10" s="1"/>
  <c r="AA222" i="10" a="1"/>
  <c r="AA222" i="10" s="1"/>
  <c r="AA223" i="10" a="1"/>
  <c r="AA223" i="10" s="1"/>
  <c r="AA224" i="10" a="1"/>
  <c r="AA224" i="10" s="1"/>
  <c r="AA225" i="10" a="1"/>
  <c r="AA225" i="10" s="1"/>
  <c r="AA226" i="10" a="1"/>
  <c r="AA226" i="10" s="1"/>
  <c r="AA227" i="10" a="1"/>
  <c r="AA227" i="10" s="1"/>
  <c r="AA228" i="10" a="1"/>
  <c r="AA228" i="10" s="1"/>
  <c r="AA229" i="10" a="1"/>
  <c r="AA229" i="10" s="1"/>
  <c r="AA230" i="10" a="1"/>
  <c r="AA230" i="10" s="1"/>
  <c r="AA231" i="10" a="1"/>
  <c r="AA231" i="10" s="1"/>
  <c r="AA232" i="10" a="1"/>
  <c r="AA232" i="10" s="1"/>
  <c r="AA233" i="10" a="1"/>
  <c r="AA233" i="10" s="1"/>
  <c r="AA234" i="10" a="1"/>
  <c r="AA234" i="10" s="1"/>
  <c r="AA235" i="10" a="1"/>
  <c r="AA235" i="10" s="1"/>
  <c r="AA236" i="10" a="1"/>
  <c r="AA236" i="10" s="1"/>
  <c r="AA237" i="10" a="1"/>
  <c r="AA237" i="10" s="1"/>
  <c r="AA238" i="10" a="1"/>
  <c r="AA238" i="10" s="1"/>
  <c r="AA239" i="10" a="1"/>
  <c r="AA239" i="10" s="1"/>
  <c r="AA240" i="10" a="1"/>
  <c r="AA240" i="10" s="1"/>
  <c r="AA241" i="10" a="1"/>
  <c r="AA241" i="10" s="1"/>
  <c r="AA242" i="10" a="1"/>
  <c r="AA242" i="10" s="1"/>
  <c r="Z150" i="10" a="1"/>
  <c r="Z150" i="10" s="1"/>
  <c r="Z151" i="10" a="1"/>
  <c r="Z151" i="10" s="1"/>
  <c r="Z152" i="10" a="1"/>
  <c r="Z152" i="10" s="1"/>
  <c r="Z153" i="10" a="1"/>
  <c r="Z153" i="10" s="1"/>
  <c r="Z154" i="10" a="1"/>
  <c r="Z154" i="10" s="1"/>
  <c r="Z155" i="10" a="1"/>
  <c r="Z155" i="10" s="1"/>
  <c r="Z156" i="10" a="1"/>
  <c r="Z156" i="10" s="1"/>
  <c r="Z157" i="10" a="1"/>
  <c r="Z157" i="10" s="1"/>
  <c r="Z158" i="10" a="1"/>
  <c r="Z158" i="10" s="1"/>
  <c r="Z159" i="10" a="1"/>
  <c r="Z159" i="10" s="1"/>
  <c r="Z160" i="10" a="1"/>
  <c r="Z160" i="10" s="1"/>
  <c r="Z161" i="10" a="1"/>
  <c r="Z161" i="10" s="1"/>
  <c r="Z162" i="10" a="1"/>
  <c r="Z162" i="10" s="1"/>
  <c r="Z163" i="10" a="1"/>
  <c r="Z163" i="10" s="1"/>
  <c r="Z164" i="10" a="1"/>
  <c r="Z164" i="10" s="1"/>
  <c r="Z165" i="10" a="1"/>
  <c r="Z165" i="10" s="1"/>
  <c r="Z166" i="10" a="1"/>
  <c r="Z166" i="10" s="1"/>
  <c r="Z167" i="10" a="1"/>
  <c r="Z167" i="10" s="1"/>
  <c r="Z168" i="10" a="1"/>
  <c r="Z168" i="10" s="1"/>
  <c r="Z169" i="10" a="1"/>
  <c r="Z169" i="10" s="1"/>
  <c r="Z170" i="10" a="1"/>
  <c r="Z170" i="10" s="1"/>
  <c r="Z171" i="10" a="1"/>
  <c r="Z171" i="10" s="1"/>
  <c r="Z172" i="10" a="1"/>
  <c r="Z172" i="10" s="1"/>
  <c r="Z173" i="10" a="1"/>
  <c r="Z173" i="10" s="1"/>
  <c r="Z174" i="10" a="1"/>
  <c r="Z174" i="10" s="1"/>
  <c r="Z175" i="10" a="1"/>
  <c r="Z175" i="10" s="1"/>
  <c r="Z176" i="10" a="1"/>
  <c r="Z176" i="10" s="1"/>
  <c r="Z177" i="10" a="1"/>
  <c r="Z177" i="10" s="1"/>
  <c r="Z178" i="10" a="1"/>
  <c r="Z178" i="10" s="1"/>
  <c r="Z179" i="10" a="1"/>
  <c r="Z179" i="10" s="1"/>
  <c r="Z180" i="10" a="1"/>
  <c r="Z180" i="10" s="1"/>
  <c r="Z181" i="10" a="1"/>
  <c r="Z181" i="10" s="1"/>
  <c r="Z182" i="10" a="1"/>
  <c r="Z182" i="10" s="1"/>
  <c r="Z183" i="10" a="1"/>
  <c r="Z183" i="10" s="1"/>
  <c r="Z184" i="10" a="1"/>
  <c r="Z184" i="10" s="1"/>
  <c r="Z185" i="10" a="1"/>
  <c r="Z185" i="10" s="1"/>
  <c r="Z186" i="10" a="1"/>
  <c r="Z186" i="10" s="1"/>
  <c r="Z187" i="10" a="1"/>
  <c r="Z187" i="10" s="1"/>
  <c r="Z188" i="10" a="1"/>
  <c r="Z188" i="10" s="1"/>
  <c r="Z189" i="10" a="1"/>
  <c r="Z189" i="10" s="1"/>
  <c r="Z190" i="10" a="1"/>
  <c r="Z190" i="10" s="1"/>
  <c r="Z191" i="10" a="1"/>
  <c r="Z191" i="10" s="1"/>
  <c r="Z192" i="10" a="1"/>
  <c r="Z192" i="10" s="1"/>
  <c r="Z193" i="10" a="1"/>
  <c r="Z193" i="10" s="1"/>
  <c r="Z194" i="10" a="1"/>
  <c r="Z194" i="10" s="1"/>
  <c r="Z195" i="10" a="1"/>
  <c r="Z195" i="10" s="1"/>
  <c r="Z196" i="10" a="1"/>
  <c r="Z196" i="10" s="1"/>
  <c r="Z197" i="10" a="1"/>
  <c r="Z197" i="10" s="1"/>
  <c r="Z198" i="10" a="1"/>
  <c r="Z198" i="10" s="1"/>
  <c r="Z199" i="10" a="1"/>
  <c r="Z199" i="10" s="1"/>
  <c r="Z200" i="10" a="1"/>
  <c r="Z200" i="10" s="1"/>
  <c r="Z201" i="10" a="1"/>
  <c r="Z201" i="10" s="1"/>
  <c r="Z202" i="10" a="1"/>
  <c r="Z202" i="10" s="1"/>
  <c r="Z203" i="10" a="1"/>
  <c r="Z203" i="10" s="1"/>
  <c r="Z204" i="10" a="1"/>
  <c r="Z204" i="10" s="1"/>
  <c r="Z205" i="10" a="1"/>
  <c r="Z205" i="10" s="1"/>
  <c r="Z206" i="10" a="1"/>
  <c r="Z206" i="10" s="1"/>
  <c r="Z207" i="10" a="1"/>
  <c r="Z207" i="10" s="1"/>
  <c r="Z208" i="10" a="1"/>
  <c r="Z208" i="10" s="1"/>
  <c r="Z209" i="10" a="1"/>
  <c r="Z209" i="10" s="1"/>
  <c r="Z210" i="10" a="1"/>
  <c r="Z210" i="10" s="1"/>
  <c r="Z211" i="10" a="1"/>
  <c r="Z211" i="10" s="1"/>
  <c r="Z212" i="10" a="1"/>
  <c r="Z212" i="10" s="1"/>
  <c r="Z213" i="10" a="1"/>
  <c r="Z213" i="10" s="1"/>
  <c r="Z214" i="10" a="1"/>
  <c r="Z214" i="10" s="1"/>
  <c r="Z215" i="10" a="1"/>
  <c r="Z215" i="10" s="1"/>
  <c r="Z216" i="10" a="1"/>
  <c r="Z216" i="10" s="1"/>
  <c r="Z217" i="10" a="1"/>
  <c r="Z217" i="10" s="1"/>
  <c r="Z218" i="10" a="1"/>
  <c r="Z218" i="10" s="1"/>
  <c r="Z219" i="10" a="1"/>
  <c r="Z219" i="10" s="1"/>
  <c r="Z220" i="10" a="1"/>
  <c r="Z220" i="10" s="1"/>
  <c r="Z221" i="10" a="1"/>
  <c r="Z221" i="10" s="1"/>
  <c r="Z222" i="10" a="1"/>
  <c r="Z222" i="10" s="1"/>
  <c r="Z223" i="10" a="1"/>
  <c r="Z223" i="10" s="1"/>
  <c r="Z224" i="10" a="1"/>
  <c r="Z224" i="10" s="1"/>
  <c r="Z225" i="10" a="1"/>
  <c r="Z225" i="10" s="1"/>
  <c r="Z226" i="10" a="1"/>
  <c r="Z226" i="10" s="1"/>
  <c r="Z227" i="10" a="1"/>
  <c r="Z227" i="10" s="1"/>
  <c r="Z228" i="10" a="1"/>
  <c r="Z228" i="10" s="1"/>
  <c r="Z229" i="10" a="1"/>
  <c r="Z229" i="10" s="1"/>
  <c r="Z230" i="10" a="1"/>
  <c r="Z230" i="10" s="1"/>
  <c r="Z231" i="10" a="1"/>
  <c r="Z231" i="10" s="1"/>
  <c r="Z232" i="10" a="1"/>
  <c r="Z232" i="10" s="1"/>
  <c r="Z233" i="10" a="1"/>
  <c r="Z233" i="10" s="1"/>
  <c r="Z234" i="10" a="1"/>
  <c r="Z234" i="10" s="1"/>
  <c r="Z235" i="10" a="1"/>
  <c r="Z235" i="10" s="1"/>
  <c r="Z236" i="10" a="1"/>
  <c r="Z236" i="10" s="1"/>
  <c r="Z237" i="10" a="1"/>
  <c r="Z237" i="10" s="1"/>
  <c r="Z238" i="10" a="1"/>
  <c r="Z238" i="10" s="1"/>
  <c r="Z239" i="10" a="1"/>
  <c r="Z239" i="10" s="1"/>
  <c r="Z240" i="10" a="1"/>
  <c r="Z240" i="10" s="1"/>
  <c r="Z241" i="10" a="1"/>
  <c r="Z241" i="10" s="1"/>
  <c r="Z242" i="10" a="1"/>
  <c r="Z242" i="10" s="1"/>
  <c r="Y150" i="10" a="1"/>
  <c r="Y150" i="10" s="1"/>
  <c r="Y151" i="10" a="1"/>
  <c r="Y151" i="10" s="1"/>
  <c r="Y152" i="10" a="1"/>
  <c r="Y152" i="10" s="1"/>
  <c r="Y153" i="10" a="1"/>
  <c r="Y153" i="10" s="1"/>
  <c r="Y154" i="10" a="1"/>
  <c r="Y154" i="10" s="1"/>
  <c r="Y155" i="10" a="1"/>
  <c r="Y155" i="10" s="1"/>
  <c r="Y156" i="10" a="1"/>
  <c r="Y156" i="10" s="1"/>
  <c r="Y157" i="10" a="1"/>
  <c r="Y157" i="10" s="1"/>
  <c r="Y158" i="10" a="1"/>
  <c r="Y158" i="10" s="1"/>
  <c r="Y159" i="10" a="1"/>
  <c r="Y159" i="10" s="1"/>
  <c r="Y160" i="10" a="1"/>
  <c r="Y160" i="10" s="1"/>
  <c r="Y161" i="10" a="1"/>
  <c r="Y161" i="10" s="1"/>
  <c r="Y162" i="10" a="1"/>
  <c r="Y162" i="10" s="1"/>
  <c r="Y163" i="10" a="1"/>
  <c r="Y163" i="10" s="1"/>
  <c r="Y164" i="10" a="1"/>
  <c r="Y164" i="10" s="1"/>
  <c r="Y165" i="10" a="1"/>
  <c r="Y165" i="10" s="1"/>
  <c r="Y166" i="10" a="1"/>
  <c r="Y166" i="10" s="1"/>
  <c r="Y167" i="10" a="1"/>
  <c r="Y167" i="10" s="1"/>
  <c r="Y168" i="10" a="1"/>
  <c r="Y168" i="10" s="1"/>
  <c r="Y169" i="10" a="1"/>
  <c r="Y169" i="10" s="1"/>
  <c r="Y170" i="10" a="1"/>
  <c r="Y170" i="10" s="1"/>
  <c r="Y171" i="10" a="1"/>
  <c r="Y171" i="10" s="1"/>
  <c r="Y172" i="10" a="1"/>
  <c r="Y172" i="10" s="1"/>
  <c r="Y173" i="10" a="1"/>
  <c r="Y173" i="10" s="1"/>
  <c r="Y174" i="10" a="1"/>
  <c r="Y174" i="10" s="1"/>
  <c r="Y175" i="10" a="1"/>
  <c r="Y175" i="10" s="1"/>
  <c r="Y176" i="10" a="1"/>
  <c r="Y176" i="10" s="1"/>
  <c r="Y177" i="10" a="1"/>
  <c r="Y177" i="10" s="1"/>
  <c r="Y178" i="10" a="1"/>
  <c r="Y178" i="10" s="1"/>
  <c r="Y179" i="10" a="1"/>
  <c r="Y179" i="10" s="1"/>
  <c r="Y180" i="10" a="1"/>
  <c r="Y180" i="10" s="1"/>
  <c r="Y181" i="10" a="1"/>
  <c r="Y181" i="10" s="1"/>
  <c r="Y182" i="10" a="1"/>
  <c r="Y182" i="10" s="1"/>
  <c r="Y183" i="10" a="1"/>
  <c r="Y183" i="10" s="1"/>
  <c r="Y184" i="10" a="1"/>
  <c r="Y184" i="10" s="1"/>
  <c r="Y185" i="10" a="1"/>
  <c r="Y185" i="10" s="1"/>
  <c r="Y186" i="10" a="1"/>
  <c r="Y186" i="10" s="1"/>
  <c r="Y187" i="10" a="1"/>
  <c r="Y187" i="10" s="1"/>
  <c r="Y188" i="10" a="1"/>
  <c r="Y188" i="10" s="1"/>
  <c r="Y189" i="10" a="1"/>
  <c r="Y189" i="10" s="1"/>
  <c r="Y190" i="10" a="1"/>
  <c r="Y190" i="10" s="1"/>
  <c r="Y191" i="10" a="1"/>
  <c r="Y191" i="10" s="1"/>
  <c r="Y192" i="10" a="1"/>
  <c r="Y192" i="10" s="1"/>
  <c r="Y193" i="10" a="1"/>
  <c r="Y193" i="10" s="1"/>
  <c r="Y194" i="10" a="1"/>
  <c r="Y194" i="10" s="1"/>
  <c r="Y195" i="10" a="1"/>
  <c r="Y195" i="10" s="1"/>
  <c r="Y196" i="10" a="1"/>
  <c r="Y196" i="10" s="1"/>
  <c r="Y197" i="10" a="1"/>
  <c r="Y197" i="10" s="1"/>
  <c r="Y198" i="10" a="1"/>
  <c r="Y198" i="10" s="1"/>
  <c r="Y199" i="10" a="1"/>
  <c r="Y199" i="10" s="1"/>
  <c r="Y200" i="10" a="1"/>
  <c r="Y200" i="10" s="1"/>
  <c r="Y201" i="10" a="1"/>
  <c r="Y201" i="10" s="1"/>
  <c r="Y202" i="10" a="1"/>
  <c r="Y202" i="10" s="1"/>
  <c r="Y203" i="10" a="1"/>
  <c r="Y203" i="10" s="1"/>
  <c r="Y204" i="10" a="1"/>
  <c r="Y204" i="10" s="1"/>
  <c r="Y205" i="10" a="1"/>
  <c r="Y205" i="10" s="1"/>
  <c r="Y206" i="10" a="1"/>
  <c r="Y206" i="10" s="1"/>
  <c r="Y207" i="10" a="1"/>
  <c r="Y207" i="10" s="1"/>
  <c r="Y208" i="10" a="1"/>
  <c r="Y208" i="10" s="1"/>
  <c r="Y209" i="10" a="1"/>
  <c r="Y209" i="10" s="1"/>
  <c r="Y210" i="10" a="1"/>
  <c r="Y210" i="10" s="1"/>
  <c r="Y211" i="10" a="1"/>
  <c r="Y211" i="10" s="1"/>
  <c r="Y212" i="10" a="1"/>
  <c r="Y212" i="10" s="1"/>
  <c r="Y213" i="10" a="1"/>
  <c r="Y213" i="10" s="1"/>
  <c r="Y214" i="10" a="1"/>
  <c r="Y214" i="10" s="1"/>
  <c r="Y215" i="10" a="1"/>
  <c r="Y215" i="10" s="1"/>
  <c r="Y216" i="10" a="1"/>
  <c r="Y216" i="10" s="1"/>
  <c r="Y217" i="10" a="1"/>
  <c r="Y217" i="10" s="1"/>
  <c r="Y218" i="10" a="1"/>
  <c r="Y218" i="10" s="1"/>
  <c r="Y219" i="10" a="1"/>
  <c r="Y219" i="10" s="1"/>
  <c r="Y220" i="10" a="1"/>
  <c r="Y220" i="10" s="1"/>
  <c r="Y221" i="10" a="1"/>
  <c r="Y221" i="10" s="1"/>
  <c r="Y222" i="10" a="1"/>
  <c r="Y222" i="10" s="1"/>
  <c r="Y223" i="10" a="1"/>
  <c r="Y223" i="10" s="1"/>
  <c r="Y224" i="10" a="1"/>
  <c r="Y224" i="10" s="1"/>
  <c r="Y225" i="10" a="1"/>
  <c r="Y225" i="10" s="1"/>
  <c r="Y226" i="10" a="1"/>
  <c r="Y226" i="10" s="1"/>
  <c r="Y227" i="10" a="1"/>
  <c r="Y227" i="10" s="1"/>
  <c r="Y228" i="10" a="1"/>
  <c r="Y228" i="10" s="1"/>
  <c r="Y229" i="10" a="1"/>
  <c r="Y229" i="10" s="1"/>
  <c r="Y230" i="10" a="1"/>
  <c r="Y230" i="10" s="1"/>
  <c r="Y231" i="10" a="1"/>
  <c r="Y231" i="10" s="1"/>
  <c r="Y232" i="10" a="1"/>
  <c r="Y232" i="10" s="1"/>
  <c r="Y233" i="10" a="1"/>
  <c r="Y233" i="10" s="1"/>
  <c r="Y234" i="10" a="1"/>
  <c r="Y234" i="10" s="1"/>
  <c r="Y235" i="10" a="1"/>
  <c r="Y235" i="10" s="1"/>
  <c r="Y236" i="10" a="1"/>
  <c r="Y237" i="10" a="1"/>
  <c r="Y237" i="10" s="1"/>
  <c r="Y238" i="10" a="1"/>
  <c r="Y238" i="10" s="1"/>
  <c r="Y239" i="10" a="1"/>
  <c r="Y239" i="10" s="1"/>
  <c r="Y240" i="10" a="1"/>
  <c r="Y240" i="10" s="1"/>
  <c r="Y241" i="10" a="1"/>
  <c r="Y241" i="10" s="1"/>
  <c r="Y242" i="10" a="1"/>
  <c r="Y242" i="10" s="1"/>
  <c r="X157" i="10" a="1"/>
  <c r="X157" i="10" s="1"/>
  <c r="X158" i="10" a="1"/>
  <c r="X158" i="10" s="1"/>
  <c r="X159" i="10" a="1"/>
  <c r="X159" i="10" s="1"/>
  <c r="X160" i="10" a="1"/>
  <c r="X160" i="10" s="1"/>
  <c r="X161" i="10" a="1"/>
  <c r="X161" i="10" s="1"/>
  <c r="X162" i="10" a="1"/>
  <c r="X162" i="10" s="1"/>
  <c r="X163" i="10" a="1"/>
  <c r="X163" i="10" s="1"/>
  <c r="X164" i="10" a="1"/>
  <c r="X164" i="10" s="1"/>
  <c r="X165" i="10" a="1"/>
  <c r="X165" i="10" s="1"/>
  <c r="X166" i="10" a="1"/>
  <c r="X166" i="10" s="1"/>
  <c r="X167" i="10" a="1"/>
  <c r="X167" i="10" s="1"/>
  <c r="X168" i="10" a="1"/>
  <c r="X168" i="10" s="1"/>
  <c r="X169" i="10" a="1"/>
  <c r="X169" i="10" s="1"/>
  <c r="X170" i="10" a="1"/>
  <c r="X170" i="10" s="1"/>
  <c r="X171" i="10" a="1"/>
  <c r="X171" i="10" s="1"/>
  <c r="X172" i="10" a="1"/>
  <c r="X172" i="10" s="1"/>
  <c r="X173" i="10" a="1"/>
  <c r="X173" i="10" s="1"/>
  <c r="X174" i="10" a="1"/>
  <c r="X174" i="10" s="1"/>
  <c r="X175" i="10" a="1"/>
  <c r="X175" i="10" s="1"/>
  <c r="X176" i="10" a="1"/>
  <c r="X176" i="10" s="1"/>
  <c r="X177" i="10" a="1"/>
  <c r="X177" i="10" s="1"/>
  <c r="X178" i="10" a="1"/>
  <c r="X178" i="10" s="1"/>
  <c r="X179" i="10" a="1"/>
  <c r="X179" i="10" s="1"/>
  <c r="X180" i="10" a="1"/>
  <c r="X180" i="10" s="1"/>
  <c r="X181" i="10" a="1"/>
  <c r="X181" i="10" s="1"/>
  <c r="X182" i="10" a="1"/>
  <c r="X182" i="10" s="1"/>
  <c r="X183" i="10" a="1"/>
  <c r="X183" i="10" s="1"/>
  <c r="X184" i="10" a="1"/>
  <c r="X184" i="10" s="1"/>
  <c r="X185" i="10" a="1"/>
  <c r="X185" i="10" s="1"/>
  <c r="X186" i="10" a="1"/>
  <c r="X186" i="10" s="1"/>
  <c r="X187" i="10" a="1"/>
  <c r="X187" i="10" s="1"/>
  <c r="X188" i="10" a="1"/>
  <c r="X188" i="10" s="1"/>
  <c r="X189" i="10" a="1"/>
  <c r="X189" i="10" s="1"/>
  <c r="X190" i="10" a="1"/>
  <c r="X190" i="10" s="1"/>
  <c r="X191" i="10" a="1"/>
  <c r="X191" i="10" s="1"/>
  <c r="X192" i="10" a="1"/>
  <c r="X192" i="10" s="1"/>
  <c r="X193" i="10" a="1"/>
  <c r="X193" i="10" s="1"/>
  <c r="X194" i="10" a="1"/>
  <c r="X194" i="10" s="1"/>
  <c r="X195" i="10" a="1"/>
  <c r="X195" i="10" s="1"/>
  <c r="X196" i="10" a="1"/>
  <c r="X196" i="10" s="1"/>
  <c r="X197" i="10" a="1"/>
  <c r="X197" i="10" s="1"/>
  <c r="X198" i="10" a="1"/>
  <c r="X198" i="10" s="1"/>
  <c r="X199" i="10" a="1"/>
  <c r="X199" i="10" s="1"/>
  <c r="X200" i="10" a="1"/>
  <c r="X200" i="10" s="1"/>
  <c r="X201" i="10" a="1"/>
  <c r="X201" i="10" s="1"/>
  <c r="X202" i="10" a="1"/>
  <c r="X202" i="10" s="1"/>
  <c r="X203" i="10" a="1"/>
  <c r="X203" i="10" s="1"/>
  <c r="X204" i="10" a="1"/>
  <c r="X204" i="10" s="1"/>
  <c r="X205" i="10" a="1"/>
  <c r="X205" i="10" s="1"/>
  <c r="X206" i="10" a="1"/>
  <c r="X206" i="10" s="1"/>
  <c r="X207" i="10" a="1"/>
  <c r="X207" i="10" s="1"/>
  <c r="X208" i="10" a="1"/>
  <c r="X208" i="10" s="1"/>
  <c r="X209" i="10" a="1"/>
  <c r="X209" i="10" s="1"/>
  <c r="X210" i="10" a="1"/>
  <c r="X210" i="10" s="1"/>
  <c r="X211" i="10" a="1"/>
  <c r="X211" i="10" s="1"/>
  <c r="X212" i="10" a="1"/>
  <c r="X212" i="10" s="1"/>
  <c r="X213" i="10" a="1"/>
  <c r="X213" i="10" s="1"/>
  <c r="X214" i="10" a="1"/>
  <c r="X214" i="10" s="1"/>
  <c r="X215" i="10" a="1"/>
  <c r="X215" i="10" s="1"/>
  <c r="X216" i="10" a="1"/>
  <c r="X216" i="10" s="1"/>
  <c r="X217" i="10" a="1"/>
  <c r="X217" i="10" s="1"/>
  <c r="X218" i="10" a="1"/>
  <c r="X218" i="10" s="1"/>
  <c r="X219" i="10" a="1"/>
  <c r="X219" i="10" s="1"/>
  <c r="X220" i="10" a="1"/>
  <c r="X220" i="10" s="1"/>
  <c r="X221" i="10" a="1"/>
  <c r="X221" i="10" s="1"/>
  <c r="X222" i="10" a="1"/>
  <c r="X222" i="10" s="1"/>
  <c r="X223" i="10" a="1"/>
  <c r="X223" i="10" s="1"/>
  <c r="X224" i="10" a="1"/>
  <c r="X224" i="10" s="1"/>
  <c r="X225" i="10" a="1"/>
  <c r="X225" i="10" s="1"/>
  <c r="X226" i="10" a="1"/>
  <c r="X226" i="10" s="1"/>
  <c r="X227" i="10" a="1"/>
  <c r="X227" i="10" s="1"/>
  <c r="X228" i="10" a="1"/>
  <c r="X228" i="10" s="1"/>
  <c r="X229" i="10" a="1"/>
  <c r="X229" i="10" s="1"/>
  <c r="X230" i="10" a="1"/>
  <c r="X230" i="10" s="1"/>
  <c r="X231" i="10" a="1"/>
  <c r="X231" i="10" s="1"/>
  <c r="X232" i="10" a="1"/>
  <c r="X232" i="10" s="1"/>
  <c r="X233" i="10" a="1"/>
  <c r="X233" i="10" s="1"/>
  <c r="X234" i="10" a="1"/>
  <c r="X234" i="10" s="1"/>
  <c r="X235" i="10" a="1"/>
  <c r="X235" i="10" s="1"/>
  <c r="X236" i="10" a="1"/>
  <c r="X236" i="10" s="1"/>
  <c r="X237" i="10" a="1"/>
  <c r="X237" i="10" s="1"/>
  <c r="X238" i="10" a="1"/>
  <c r="X238" i="10" s="1"/>
  <c r="X239" i="10" a="1"/>
  <c r="X239" i="10" s="1"/>
  <c r="X240" i="10" a="1"/>
  <c r="X240" i="10" s="1"/>
  <c r="X241" i="10" a="1"/>
  <c r="X241" i="10" s="1"/>
  <c r="X242" i="10" a="1"/>
  <c r="X242" i="10" s="1"/>
  <c r="W160" i="10" a="1"/>
  <c r="W160" i="10" s="1"/>
  <c r="W161" i="10" a="1"/>
  <c r="W161" i="10" s="1"/>
  <c r="W162" i="10" a="1"/>
  <c r="W162" i="10" s="1"/>
  <c r="W163" i="10" a="1"/>
  <c r="W163" i="10" s="1"/>
  <c r="W164" i="10" a="1"/>
  <c r="W164" i="10" s="1"/>
  <c r="W165" i="10" a="1"/>
  <c r="W165" i="10" s="1"/>
  <c r="W166" i="10" a="1"/>
  <c r="W166" i="10" s="1"/>
  <c r="W167" i="10" a="1"/>
  <c r="W167" i="10" s="1"/>
  <c r="W168" i="10" a="1"/>
  <c r="W168" i="10" s="1"/>
  <c r="W169" i="10" a="1"/>
  <c r="W169" i="10" s="1"/>
  <c r="W170" i="10" a="1"/>
  <c r="W170" i="10" s="1"/>
  <c r="W171" i="10" a="1"/>
  <c r="W171" i="10" s="1"/>
  <c r="W172" i="10" a="1"/>
  <c r="W172" i="10" s="1"/>
  <c r="W173" i="10" a="1"/>
  <c r="W173" i="10" s="1"/>
  <c r="W174" i="10" a="1"/>
  <c r="W174" i="10" s="1"/>
  <c r="W175" i="10" a="1"/>
  <c r="W175" i="10" s="1"/>
  <c r="W176" i="10" a="1"/>
  <c r="W176" i="10" s="1"/>
  <c r="W177" i="10" a="1"/>
  <c r="W177" i="10" s="1"/>
  <c r="W178" i="10" a="1"/>
  <c r="W178" i="10" s="1"/>
  <c r="W179" i="10" a="1"/>
  <c r="W179" i="10" s="1"/>
  <c r="W180" i="10" a="1"/>
  <c r="W180" i="10" s="1"/>
  <c r="W181" i="10" a="1"/>
  <c r="W181" i="10" s="1"/>
  <c r="W182" i="10" a="1"/>
  <c r="W182" i="10" s="1"/>
  <c r="W183" i="10" a="1"/>
  <c r="W183" i="10" s="1"/>
  <c r="W184" i="10" a="1"/>
  <c r="W184" i="10" s="1"/>
  <c r="W185" i="10" a="1"/>
  <c r="W185" i="10" s="1"/>
  <c r="W186" i="10" a="1"/>
  <c r="W186" i="10" s="1"/>
  <c r="W187" i="10" a="1"/>
  <c r="W187" i="10" s="1"/>
  <c r="W188" i="10" a="1"/>
  <c r="W188" i="10" s="1"/>
  <c r="W189" i="10" a="1"/>
  <c r="W189" i="10" s="1"/>
  <c r="W190" i="10" a="1"/>
  <c r="W190" i="10" s="1"/>
  <c r="W191" i="10" a="1"/>
  <c r="W191" i="10" s="1"/>
  <c r="W192" i="10" a="1"/>
  <c r="W192" i="10" s="1"/>
  <c r="W193" i="10" a="1"/>
  <c r="W193" i="10" s="1"/>
  <c r="W194" i="10" a="1"/>
  <c r="W194" i="10" s="1"/>
  <c r="W195" i="10" a="1"/>
  <c r="W195" i="10" s="1"/>
  <c r="W196" i="10" a="1"/>
  <c r="W196" i="10" s="1"/>
  <c r="W197" i="10" a="1"/>
  <c r="W197" i="10" s="1"/>
  <c r="W198" i="10" a="1"/>
  <c r="W198" i="10" s="1"/>
  <c r="W199" i="10" a="1"/>
  <c r="W199" i="10" s="1"/>
  <c r="W200" i="10" a="1"/>
  <c r="W200" i="10" s="1"/>
  <c r="W201" i="10" a="1"/>
  <c r="W201" i="10" s="1"/>
  <c r="W202" i="10" a="1"/>
  <c r="W202" i="10" s="1"/>
  <c r="W203" i="10" a="1"/>
  <c r="W203" i="10" s="1"/>
  <c r="W204" i="10" a="1"/>
  <c r="W204" i="10" s="1"/>
  <c r="W205" i="10" a="1"/>
  <c r="W205" i="10" s="1"/>
  <c r="W206" i="10" a="1"/>
  <c r="W206" i="10" s="1"/>
  <c r="W207" i="10" a="1"/>
  <c r="W207" i="10" s="1"/>
  <c r="W208" i="10" a="1"/>
  <c r="W208" i="10" s="1"/>
  <c r="W209" i="10" a="1"/>
  <c r="W209" i="10" s="1"/>
  <c r="W210" i="10" a="1"/>
  <c r="W210" i="10" s="1"/>
  <c r="W211" i="10" a="1"/>
  <c r="W211" i="10" s="1"/>
  <c r="W212" i="10" a="1"/>
  <c r="W212" i="10" s="1"/>
  <c r="W213" i="10" a="1"/>
  <c r="W213" i="10" s="1"/>
  <c r="W214" i="10" a="1"/>
  <c r="W214" i="10" s="1"/>
  <c r="W215" i="10" a="1"/>
  <c r="W215" i="10" s="1"/>
  <c r="W216" i="10" a="1"/>
  <c r="W216" i="10" s="1"/>
  <c r="W217" i="10" a="1"/>
  <c r="W217" i="10" s="1"/>
  <c r="W218" i="10" a="1"/>
  <c r="W218" i="10" s="1"/>
  <c r="W219" i="10" a="1"/>
  <c r="W219" i="10" s="1"/>
  <c r="W220" i="10" a="1"/>
  <c r="W220" i="10" s="1"/>
  <c r="W221" i="10" a="1"/>
  <c r="W221" i="10" s="1"/>
  <c r="W222" i="10" a="1"/>
  <c r="W222" i="10" s="1"/>
  <c r="W223" i="10" a="1"/>
  <c r="W223" i="10" s="1"/>
  <c r="W224" i="10" a="1"/>
  <c r="W224" i="10" s="1"/>
  <c r="W225" i="10" a="1"/>
  <c r="W225" i="10" s="1"/>
  <c r="W226" i="10" a="1"/>
  <c r="W226" i="10" s="1"/>
  <c r="W227" i="10" a="1"/>
  <c r="W227" i="10" s="1"/>
  <c r="W228" i="10" a="1"/>
  <c r="W228" i="10" s="1"/>
  <c r="W229" i="10" a="1"/>
  <c r="W229" i="10" s="1"/>
  <c r="W230" i="10" a="1"/>
  <c r="W230" i="10" s="1"/>
  <c r="W231" i="10" a="1"/>
  <c r="W231" i="10" s="1"/>
  <c r="W232" i="10" a="1"/>
  <c r="W232" i="10" s="1"/>
  <c r="W233" i="10" a="1"/>
  <c r="W233" i="10" s="1"/>
  <c r="W234" i="10" a="1"/>
  <c r="W234" i="10" s="1"/>
  <c r="W235" i="10" a="1"/>
  <c r="W235" i="10" s="1"/>
  <c r="W236" i="10" a="1"/>
  <c r="W236" i="10" s="1"/>
  <c r="W237" i="10" a="1"/>
  <c r="W237" i="10" s="1"/>
  <c r="W238" i="10" a="1"/>
  <c r="W238" i="10" s="1"/>
  <c r="W239" i="10" a="1"/>
  <c r="W239" i="10" s="1"/>
  <c r="W240" i="10" a="1"/>
  <c r="W240" i="10" s="1"/>
  <c r="W241" i="10" a="1"/>
  <c r="W241" i="10" s="1"/>
  <c r="W242" i="10" a="1"/>
  <c r="W242" i="10" s="1"/>
  <c r="V160" i="10" a="1"/>
  <c r="V160" i="10" s="1"/>
  <c r="V161" i="10" a="1"/>
  <c r="V161" i="10" s="1"/>
  <c r="V162" i="10" a="1"/>
  <c r="V162" i="10" s="1"/>
  <c r="V163" i="10" a="1"/>
  <c r="V163" i="10" s="1"/>
  <c r="V164" i="10" a="1"/>
  <c r="V164" i="10" s="1"/>
  <c r="V165" i="10" a="1"/>
  <c r="V165" i="10" s="1"/>
  <c r="V166" i="10" a="1"/>
  <c r="V166" i="10" s="1"/>
  <c r="V167" i="10" a="1"/>
  <c r="V167" i="10" s="1"/>
  <c r="V168" i="10" a="1"/>
  <c r="V168" i="10" s="1"/>
  <c r="V169" i="10" a="1"/>
  <c r="V169" i="10" s="1"/>
  <c r="V170" i="10" a="1"/>
  <c r="V170" i="10" s="1"/>
  <c r="V171" i="10" a="1"/>
  <c r="V171" i="10" s="1"/>
  <c r="V172" i="10" a="1"/>
  <c r="V172" i="10" s="1"/>
  <c r="V173" i="10" a="1"/>
  <c r="V173" i="10" s="1"/>
  <c r="V174" i="10" a="1"/>
  <c r="V174" i="10" s="1"/>
  <c r="V175" i="10" a="1"/>
  <c r="V175" i="10" s="1"/>
  <c r="V176" i="10" a="1"/>
  <c r="V176" i="10" s="1"/>
  <c r="V177" i="10" a="1"/>
  <c r="V177" i="10" s="1"/>
  <c r="V178" i="10" a="1"/>
  <c r="V178" i="10" s="1"/>
  <c r="V179" i="10" a="1"/>
  <c r="V179" i="10" s="1"/>
  <c r="V180" i="10" a="1"/>
  <c r="V180" i="10" s="1"/>
  <c r="V181" i="10" a="1"/>
  <c r="V181" i="10" s="1"/>
  <c r="V182" i="10" a="1"/>
  <c r="V182" i="10" s="1"/>
  <c r="V183" i="10" a="1"/>
  <c r="V183" i="10" s="1"/>
  <c r="V184" i="10" a="1"/>
  <c r="V184" i="10" s="1"/>
  <c r="V185" i="10" a="1"/>
  <c r="V185" i="10" s="1"/>
  <c r="V186" i="10" a="1"/>
  <c r="V186" i="10" s="1"/>
  <c r="V187" i="10" a="1"/>
  <c r="V187" i="10" s="1"/>
  <c r="V188" i="10" a="1"/>
  <c r="V188" i="10" s="1"/>
  <c r="V189" i="10" a="1"/>
  <c r="V189" i="10" s="1"/>
  <c r="V190" i="10" a="1"/>
  <c r="V190" i="10" s="1"/>
  <c r="V191" i="10" a="1"/>
  <c r="V191" i="10" s="1"/>
  <c r="V192" i="10" a="1"/>
  <c r="V192" i="10" s="1"/>
  <c r="V193" i="10" a="1"/>
  <c r="V193" i="10" s="1"/>
  <c r="V194" i="10" a="1"/>
  <c r="V194" i="10" s="1"/>
  <c r="V195" i="10" a="1"/>
  <c r="V195" i="10" s="1"/>
  <c r="V196" i="10" a="1"/>
  <c r="V196" i="10" s="1"/>
  <c r="V197" i="10" a="1"/>
  <c r="V197" i="10" s="1"/>
  <c r="V198" i="10" a="1"/>
  <c r="V198" i="10" s="1"/>
  <c r="V199" i="10" a="1"/>
  <c r="V199" i="10" s="1"/>
  <c r="V200" i="10" a="1"/>
  <c r="V200" i="10" s="1"/>
  <c r="V201" i="10" a="1"/>
  <c r="V201" i="10" s="1"/>
  <c r="V202" i="10" a="1"/>
  <c r="V202" i="10" s="1"/>
  <c r="V203" i="10" a="1"/>
  <c r="V203" i="10" s="1"/>
  <c r="V204" i="10" a="1"/>
  <c r="V204" i="10" s="1"/>
  <c r="V205" i="10" a="1"/>
  <c r="V205" i="10" s="1"/>
  <c r="V206" i="10" a="1"/>
  <c r="V206" i="10" s="1"/>
  <c r="V207" i="10" a="1"/>
  <c r="V207" i="10" s="1"/>
  <c r="V208" i="10" a="1"/>
  <c r="V208" i="10" s="1"/>
  <c r="V209" i="10" a="1"/>
  <c r="V209" i="10" s="1"/>
  <c r="V210" i="10" a="1"/>
  <c r="V210" i="10" s="1"/>
  <c r="V211" i="10" a="1"/>
  <c r="V211" i="10" s="1"/>
  <c r="V212" i="10" a="1"/>
  <c r="V212" i="10" s="1"/>
  <c r="V213" i="10" a="1"/>
  <c r="V213" i="10" s="1"/>
  <c r="V214" i="10" a="1"/>
  <c r="V214" i="10" s="1"/>
  <c r="V215" i="10" a="1"/>
  <c r="V215" i="10" s="1"/>
  <c r="V216" i="10" a="1"/>
  <c r="V216" i="10" s="1"/>
  <c r="V217" i="10" a="1"/>
  <c r="V217" i="10" s="1"/>
  <c r="V218" i="10" a="1"/>
  <c r="V218" i="10" s="1"/>
  <c r="V219" i="10" a="1"/>
  <c r="V219" i="10" s="1"/>
  <c r="V220" i="10" a="1"/>
  <c r="V220" i="10" s="1"/>
  <c r="V221" i="10" a="1"/>
  <c r="V221" i="10" s="1"/>
  <c r="V222" i="10" a="1"/>
  <c r="V222" i="10" s="1"/>
  <c r="V223" i="10" a="1"/>
  <c r="V223" i="10" s="1"/>
  <c r="V224" i="10" a="1"/>
  <c r="V224" i="10" s="1"/>
  <c r="V225" i="10" a="1"/>
  <c r="V225" i="10" s="1"/>
  <c r="V226" i="10" a="1"/>
  <c r="V226" i="10" s="1"/>
  <c r="V227" i="10" a="1"/>
  <c r="V227" i="10" s="1"/>
  <c r="V228" i="10" a="1"/>
  <c r="V228" i="10" s="1"/>
  <c r="V229" i="10" a="1"/>
  <c r="V229" i="10" s="1"/>
  <c r="V230" i="10" a="1"/>
  <c r="V230" i="10" s="1"/>
  <c r="V231" i="10" a="1"/>
  <c r="V231" i="10" s="1"/>
  <c r="V232" i="10" a="1"/>
  <c r="V232" i="10" s="1"/>
  <c r="V233" i="10" a="1"/>
  <c r="V233" i="10" s="1"/>
  <c r="V234" i="10" a="1"/>
  <c r="V234" i="10" s="1"/>
  <c r="V235" i="10" a="1"/>
  <c r="V235" i="10" s="1"/>
  <c r="V236" i="10" a="1"/>
  <c r="V236" i="10" s="1"/>
  <c r="V237" i="10" a="1"/>
  <c r="V237" i="10" s="1"/>
  <c r="V238" i="10" a="1"/>
  <c r="V238" i="10" s="1"/>
  <c r="V239" i="10" a="1"/>
  <c r="V239" i="10" s="1"/>
  <c r="V240" i="10" a="1"/>
  <c r="V240" i="10" s="1"/>
  <c r="V241" i="10" a="1"/>
  <c r="V241" i="10" s="1"/>
  <c r="V242" i="10" a="1"/>
  <c r="V242" i="10" s="1"/>
  <c r="U158" i="10" a="1"/>
  <c r="U158" i="10" s="1"/>
  <c r="U159" i="10" a="1"/>
  <c r="U159" i="10" s="1"/>
  <c r="U160" i="10" a="1"/>
  <c r="U160" i="10" s="1"/>
  <c r="U161" i="10" a="1"/>
  <c r="U161" i="10" s="1"/>
  <c r="U162" i="10" a="1"/>
  <c r="U162" i="10" s="1"/>
  <c r="U163" i="10" a="1"/>
  <c r="U163" i="10" s="1"/>
  <c r="U164" i="10" a="1"/>
  <c r="U164" i="10" s="1"/>
  <c r="U165" i="10" a="1"/>
  <c r="U165" i="10" s="1"/>
  <c r="U166" i="10" a="1"/>
  <c r="U166" i="10" s="1"/>
  <c r="U167" i="10" a="1"/>
  <c r="U167" i="10" s="1"/>
  <c r="U168" i="10" a="1"/>
  <c r="U168" i="10" s="1"/>
  <c r="U169" i="10" a="1"/>
  <c r="U169" i="10" s="1"/>
  <c r="U170" i="10" a="1"/>
  <c r="U170" i="10" s="1"/>
  <c r="U171" i="10" a="1"/>
  <c r="U171" i="10" s="1"/>
  <c r="U172" i="10" a="1"/>
  <c r="U172" i="10" s="1"/>
  <c r="U173" i="10" a="1"/>
  <c r="U173" i="10" s="1"/>
  <c r="U174" i="10" a="1"/>
  <c r="U174" i="10" s="1"/>
  <c r="U175" i="10" a="1"/>
  <c r="U175" i="10" s="1"/>
  <c r="U176" i="10" a="1"/>
  <c r="U176" i="10" s="1"/>
  <c r="U177" i="10" a="1"/>
  <c r="U177" i="10" s="1"/>
  <c r="U178" i="10" a="1"/>
  <c r="U178" i="10" s="1"/>
  <c r="U179" i="10" a="1"/>
  <c r="U179" i="10" s="1"/>
  <c r="U180" i="10" a="1"/>
  <c r="U180" i="10" s="1"/>
  <c r="U181" i="10" a="1"/>
  <c r="U181" i="10" s="1"/>
  <c r="U182" i="10" a="1"/>
  <c r="U182" i="10" s="1"/>
  <c r="U183" i="10" a="1"/>
  <c r="U183" i="10" s="1"/>
  <c r="U184" i="10" a="1"/>
  <c r="U184" i="10" s="1"/>
  <c r="U185" i="10" a="1"/>
  <c r="U185" i="10" s="1"/>
  <c r="U186" i="10" a="1"/>
  <c r="U186" i="10" s="1"/>
  <c r="U187" i="10" a="1"/>
  <c r="U187" i="10" s="1"/>
  <c r="U188" i="10" a="1"/>
  <c r="U189" i="10" a="1"/>
  <c r="U189" i="10" s="1"/>
  <c r="U190" i="10" a="1"/>
  <c r="U190" i="10" s="1"/>
  <c r="U191" i="10" a="1"/>
  <c r="U191" i="10" s="1"/>
  <c r="U192" i="10" a="1"/>
  <c r="U192" i="10" s="1"/>
  <c r="U193" i="10" a="1"/>
  <c r="U193" i="10" s="1"/>
  <c r="U194" i="10" a="1"/>
  <c r="U194" i="10" s="1"/>
  <c r="U195" i="10" a="1"/>
  <c r="U195" i="10" s="1"/>
  <c r="U196" i="10" a="1"/>
  <c r="U196" i="10" s="1"/>
  <c r="U197" i="10" a="1"/>
  <c r="U197" i="10" s="1"/>
  <c r="U198" i="10" a="1"/>
  <c r="U198" i="10" s="1"/>
  <c r="U199" i="10" a="1"/>
  <c r="U199" i="10" s="1"/>
  <c r="U200" i="10" a="1"/>
  <c r="U200" i="10" s="1"/>
  <c r="U201" i="10" a="1"/>
  <c r="U201" i="10" s="1"/>
  <c r="U202" i="10" a="1"/>
  <c r="U202" i="10" s="1"/>
  <c r="U203" i="10" a="1"/>
  <c r="U203" i="10" s="1"/>
  <c r="U204" i="10" a="1"/>
  <c r="U204" i="10" s="1"/>
  <c r="U205" i="10" a="1"/>
  <c r="U205" i="10" s="1"/>
  <c r="U206" i="10" a="1"/>
  <c r="U206" i="10" s="1"/>
  <c r="U207" i="10" a="1"/>
  <c r="U207" i="10" s="1"/>
  <c r="U208" i="10" a="1"/>
  <c r="U208" i="10" s="1"/>
  <c r="U209" i="10" a="1"/>
  <c r="U209" i="10" s="1"/>
  <c r="U210" i="10" a="1"/>
  <c r="U210" i="10" s="1"/>
  <c r="U211" i="10" a="1"/>
  <c r="U211" i="10" s="1"/>
  <c r="U212" i="10" a="1"/>
  <c r="U212" i="10" s="1"/>
  <c r="U213" i="10" a="1"/>
  <c r="U213" i="10" s="1"/>
  <c r="U214" i="10" a="1"/>
  <c r="U214" i="10" s="1"/>
  <c r="U215" i="10" a="1"/>
  <c r="U215" i="10" s="1"/>
  <c r="U216" i="10" a="1"/>
  <c r="U216" i="10" s="1"/>
  <c r="U217" i="10" a="1"/>
  <c r="U217" i="10" s="1"/>
  <c r="U218" i="10" a="1"/>
  <c r="U218" i="10" s="1"/>
  <c r="U219" i="10" a="1"/>
  <c r="U219" i="10" s="1"/>
  <c r="U220" i="10" a="1"/>
  <c r="U220" i="10" s="1"/>
  <c r="U221" i="10" a="1"/>
  <c r="U221" i="10" s="1"/>
  <c r="U222" i="10" a="1"/>
  <c r="U222" i="10" s="1"/>
  <c r="U223" i="10" a="1"/>
  <c r="U223" i="10" s="1"/>
  <c r="U224" i="10" a="1"/>
  <c r="U224" i="10" s="1"/>
  <c r="U225" i="10" a="1"/>
  <c r="U225" i="10" s="1"/>
  <c r="U226" i="10" a="1"/>
  <c r="U226" i="10" s="1"/>
  <c r="U227" i="10" a="1"/>
  <c r="U227" i="10" s="1"/>
  <c r="U228" i="10" a="1"/>
  <c r="U228" i="10" s="1"/>
  <c r="U229" i="10" a="1"/>
  <c r="U229" i="10" s="1"/>
  <c r="U230" i="10" a="1"/>
  <c r="U230" i="10" s="1"/>
  <c r="U231" i="10" a="1"/>
  <c r="U231" i="10" s="1"/>
  <c r="U232" i="10" a="1"/>
  <c r="U232" i="10" s="1"/>
  <c r="U233" i="10" a="1"/>
  <c r="U233" i="10" s="1"/>
  <c r="U234" i="10" a="1"/>
  <c r="U234" i="10" s="1"/>
  <c r="U235" i="10" a="1"/>
  <c r="U235" i="10" s="1"/>
  <c r="U236" i="10" a="1"/>
  <c r="U236" i="10" s="1"/>
  <c r="U237" i="10" a="1"/>
  <c r="U237" i="10" s="1"/>
  <c r="U238" i="10" a="1"/>
  <c r="U238" i="10" s="1"/>
  <c r="U239" i="10" a="1"/>
  <c r="U239" i="10" s="1"/>
  <c r="U240" i="10" a="1"/>
  <c r="U240" i="10" s="1"/>
  <c r="U241" i="10" a="1"/>
  <c r="U241" i="10" s="1"/>
  <c r="U242" i="10" a="1"/>
  <c r="U242" i="10" s="1"/>
  <c r="T163" i="10" a="1"/>
  <c r="T163" i="10" s="1"/>
  <c r="T164" i="10" a="1"/>
  <c r="T164" i="10" s="1"/>
  <c r="T165" i="10" a="1"/>
  <c r="T165" i="10" s="1"/>
  <c r="T166" i="10" a="1"/>
  <c r="T166" i="10" s="1"/>
  <c r="T167" i="10" a="1"/>
  <c r="T167" i="10"/>
  <c r="T168" i="10" a="1"/>
  <c r="T168" i="10" s="1"/>
  <c r="T169" i="10" a="1"/>
  <c r="T169" i="10" s="1"/>
  <c r="T170" i="10" a="1"/>
  <c r="T170" i="10" s="1"/>
  <c r="T171" i="10" a="1"/>
  <c r="T171" i="10" s="1"/>
  <c r="T172" i="10" a="1"/>
  <c r="T172" i="10" s="1"/>
  <c r="T173" i="10" a="1"/>
  <c r="T173" i="10" s="1"/>
  <c r="T174" i="10" a="1"/>
  <c r="T174" i="10" s="1"/>
  <c r="T175" i="10" a="1"/>
  <c r="T175" i="10" s="1"/>
  <c r="T176" i="10" a="1"/>
  <c r="T176" i="10" s="1"/>
  <c r="T177" i="10" a="1"/>
  <c r="T177" i="10" s="1"/>
  <c r="T178" i="10" a="1"/>
  <c r="T178" i="10" s="1"/>
  <c r="T179" i="10" a="1"/>
  <c r="T179" i="10" s="1"/>
  <c r="T180" i="10" a="1"/>
  <c r="T180" i="10" s="1"/>
  <c r="T181" i="10" a="1"/>
  <c r="T181" i="10" s="1"/>
  <c r="T182" i="10" a="1"/>
  <c r="T182" i="10" s="1"/>
  <c r="T183" i="10" a="1"/>
  <c r="T183" i="10" s="1"/>
  <c r="T184" i="10" a="1"/>
  <c r="T184" i="10" s="1"/>
  <c r="T185" i="10" a="1"/>
  <c r="T185" i="10" s="1"/>
  <c r="T186" i="10" a="1"/>
  <c r="T186" i="10" s="1"/>
  <c r="T187" i="10" a="1"/>
  <c r="T187" i="10" s="1"/>
  <c r="T188" i="10" a="1"/>
  <c r="T188" i="10" s="1"/>
  <c r="T189" i="10" a="1"/>
  <c r="T189" i="10" s="1"/>
  <c r="T190" i="10" a="1"/>
  <c r="T190" i="10" s="1"/>
  <c r="T191" i="10" a="1"/>
  <c r="T191" i="10" s="1"/>
  <c r="T192" i="10" a="1"/>
  <c r="T192" i="10" s="1"/>
  <c r="T193" i="10" a="1"/>
  <c r="T193" i="10" s="1"/>
  <c r="T194" i="10" a="1"/>
  <c r="T194" i="10" s="1"/>
  <c r="T195" i="10" a="1"/>
  <c r="T195" i="10" s="1"/>
  <c r="T196" i="10" a="1"/>
  <c r="T196" i="10" s="1"/>
  <c r="T197" i="10" a="1"/>
  <c r="T197" i="10" s="1"/>
  <c r="T198" i="10" a="1"/>
  <c r="T198" i="10" s="1"/>
  <c r="T199" i="10" a="1"/>
  <c r="T199" i="10" s="1"/>
  <c r="T200" i="10" a="1"/>
  <c r="T200" i="10" s="1"/>
  <c r="T201" i="10" a="1"/>
  <c r="T201" i="10" s="1"/>
  <c r="T202" i="10" a="1"/>
  <c r="T202" i="10" s="1"/>
  <c r="T203" i="10" a="1"/>
  <c r="T203" i="10" s="1"/>
  <c r="T204" i="10" a="1"/>
  <c r="T204" i="10" s="1"/>
  <c r="T205" i="10" a="1"/>
  <c r="T205" i="10" s="1"/>
  <c r="T206" i="10" a="1"/>
  <c r="T206" i="10" s="1"/>
  <c r="T207" i="10" a="1"/>
  <c r="T207" i="10" s="1"/>
  <c r="T208" i="10" a="1"/>
  <c r="T208" i="10" s="1"/>
  <c r="T209" i="10" a="1"/>
  <c r="T209" i="10" s="1"/>
  <c r="T210" i="10" a="1"/>
  <c r="T210" i="10" s="1"/>
  <c r="T211" i="10" a="1"/>
  <c r="T211" i="10" s="1"/>
  <c r="T212" i="10" a="1"/>
  <c r="T212" i="10" s="1"/>
  <c r="T213" i="10" a="1"/>
  <c r="T213" i="10" s="1"/>
  <c r="T214" i="10" a="1"/>
  <c r="T214" i="10" s="1"/>
  <c r="T215" i="10" a="1"/>
  <c r="T215" i="10" s="1"/>
  <c r="T216" i="10" a="1"/>
  <c r="T216" i="10" s="1"/>
  <c r="T217" i="10" a="1"/>
  <c r="T217" i="10" s="1"/>
  <c r="T218" i="10" a="1"/>
  <c r="T218" i="10" s="1"/>
  <c r="T219" i="10" a="1"/>
  <c r="T219" i="10" s="1"/>
  <c r="T220" i="10" a="1"/>
  <c r="T220" i="10" s="1"/>
  <c r="T221" i="10" a="1"/>
  <c r="T221" i="10" s="1"/>
  <c r="T222" i="10" a="1"/>
  <c r="T222" i="10" s="1"/>
  <c r="T223" i="10" a="1"/>
  <c r="T223" i="10" s="1"/>
  <c r="T224" i="10" a="1"/>
  <c r="T224" i="10" s="1"/>
  <c r="T225" i="10" a="1"/>
  <c r="T225" i="10" s="1"/>
  <c r="T226" i="10" a="1"/>
  <c r="T226" i="10" s="1"/>
  <c r="T227" i="10" a="1"/>
  <c r="T227" i="10" s="1"/>
  <c r="T228" i="10" a="1"/>
  <c r="T228" i="10" s="1"/>
  <c r="T229" i="10" a="1"/>
  <c r="T229" i="10" s="1"/>
  <c r="T230" i="10" a="1"/>
  <c r="T230" i="10" s="1"/>
  <c r="T231" i="10" a="1"/>
  <c r="T231" i="10" s="1"/>
  <c r="T232" i="10" a="1"/>
  <c r="T232" i="10" s="1"/>
  <c r="T233" i="10" a="1"/>
  <c r="T233" i="10" s="1"/>
  <c r="T234" i="10" a="1"/>
  <c r="T234" i="10" s="1"/>
  <c r="T235" i="10" a="1"/>
  <c r="T235" i="10" s="1"/>
  <c r="T236" i="10" a="1"/>
  <c r="T236" i="10" s="1"/>
  <c r="T237" i="10" a="1"/>
  <c r="T237" i="10" s="1"/>
  <c r="T238" i="10" a="1"/>
  <c r="T238" i="10" s="1"/>
  <c r="T239" i="10" a="1"/>
  <c r="T239" i="10" s="1"/>
  <c r="T240" i="10" a="1"/>
  <c r="T240" i="10" s="1"/>
  <c r="T241" i="10" a="1"/>
  <c r="T241" i="10" s="1"/>
  <c r="T242" i="10" a="1"/>
  <c r="T242" i="10" s="1"/>
  <c r="S164" i="10" a="1"/>
  <c r="S164" i="10" s="1"/>
  <c r="S165" i="10" a="1"/>
  <c r="S165" i="10" s="1"/>
  <c r="S166" i="10" a="1"/>
  <c r="S166" i="10" s="1"/>
  <c r="S167" i="10" a="1"/>
  <c r="S167" i="10" s="1"/>
  <c r="S168" i="10" a="1"/>
  <c r="S168" i="10" s="1"/>
  <c r="S169" i="10" a="1"/>
  <c r="S169" i="10" s="1"/>
  <c r="S170" i="10" a="1"/>
  <c r="S170" i="10" s="1"/>
  <c r="S171" i="10" a="1"/>
  <c r="S171" i="10" s="1"/>
  <c r="S172" i="10" a="1"/>
  <c r="S172" i="10" s="1"/>
  <c r="S173" i="10" a="1"/>
  <c r="S173" i="10" s="1"/>
  <c r="S174" i="10" a="1"/>
  <c r="S174" i="10" s="1"/>
  <c r="S175" i="10" a="1"/>
  <c r="S175" i="10" s="1"/>
  <c r="S176" i="10" a="1"/>
  <c r="S176" i="10" s="1"/>
  <c r="S177" i="10" a="1"/>
  <c r="S177" i="10" s="1"/>
  <c r="S178" i="10" a="1"/>
  <c r="S178" i="10" s="1"/>
  <c r="S179" i="10" a="1"/>
  <c r="S179" i="10" s="1"/>
  <c r="S180" i="10" a="1"/>
  <c r="S180" i="10" s="1"/>
  <c r="S181" i="10" a="1"/>
  <c r="S181" i="10" s="1"/>
  <c r="S182" i="10" a="1"/>
  <c r="S182" i="10" s="1"/>
  <c r="S183" i="10" a="1"/>
  <c r="S183" i="10" s="1"/>
  <c r="S184" i="10" a="1"/>
  <c r="S184" i="10" s="1"/>
  <c r="S185" i="10" a="1"/>
  <c r="S185" i="10" s="1"/>
  <c r="S186" i="10" a="1"/>
  <c r="S186" i="10" s="1"/>
  <c r="S187" i="10" a="1"/>
  <c r="S187" i="10" s="1"/>
  <c r="S188" i="10" a="1"/>
  <c r="S188" i="10" s="1"/>
  <c r="S189" i="10" a="1"/>
  <c r="S189" i="10" s="1"/>
  <c r="S190" i="10" a="1"/>
  <c r="S190" i="10" s="1"/>
  <c r="S191" i="10" a="1"/>
  <c r="S191" i="10" s="1"/>
  <c r="S192" i="10" a="1"/>
  <c r="S192" i="10" s="1"/>
  <c r="S193" i="10" a="1"/>
  <c r="S193" i="10" s="1"/>
  <c r="S194" i="10" a="1"/>
  <c r="S194" i="10" s="1"/>
  <c r="S195" i="10" a="1"/>
  <c r="S195" i="10" s="1"/>
  <c r="S196" i="10" a="1"/>
  <c r="S196" i="10" s="1"/>
  <c r="S197" i="10" a="1"/>
  <c r="S197" i="10" s="1"/>
  <c r="S198" i="10" a="1"/>
  <c r="S198" i="10" s="1"/>
  <c r="S199" i="10" a="1"/>
  <c r="S199" i="10" s="1"/>
  <c r="S200" i="10" a="1"/>
  <c r="S200" i="10" s="1"/>
  <c r="S201" i="10" a="1"/>
  <c r="S201" i="10" s="1"/>
  <c r="S202" i="10" a="1"/>
  <c r="S202" i="10" s="1"/>
  <c r="S203" i="10" a="1"/>
  <c r="S203" i="10" s="1"/>
  <c r="S204" i="10" a="1"/>
  <c r="S204" i="10" s="1"/>
  <c r="S205" i="10" a="1"/>
  <c r="S205" i="10" s="1"/>
  <c r="S206" i="10" a="1"/>
  <c r="S206" i="10" s="1"/>
  <c r="S207" i="10" a="1"/>
  <c r="S207" i="10" s="1"/>
  <c r="S208" i="10" a="1"/>
  <c r="S208" i="10" s="1"/>
  <c r="S209" i="10" a="1"/>
  <c r="S209" i="10" s="1"/>
  <c r="S210" i="10" a="1"/>
  <c r="S210" i="10" s="1"/>
  <c r="S211" i="10" a="1"/>
  <c r="S211" i="10" s="1"/>
  <c r="S212" i="10" a="1"/>
  <c r="S212" i="10" s="1"/>
  <c r="S213" i="10" a="1"/>
  <c r="S213" i="10" s="1"/>
  <c r="S214" i="10" a="1"/>
  <c r="S214" i="10" s="1"/>
  <c r="S215" i="10" a="1"/>
  <c r="S215" i="10" s="1"/>
  <c r="S216" i="10" a="1"/>
  <c r="S216" i="10" s="1"/>
  <c r="S217" i="10" a="1"/>
  <c r="S217" i="10" s="1"/>
  <c r="S218" i="10" a="1"/>
  <c r="S218" i="10" s="1"/>
  <c r="S219" i="10" a="1"/>
  <c r="S219" i="10" s="1"/>
  <c r="S220" i="10" a="1"/>
  <c r="S220" i="10" s="1"/>
  <c r="S221" i="10" a="1"/>
  <c r="S221" i="10" s="1"/>
  <c r="S222" i="10" a="1"/>
  <c r="S222" i="10" s="1"/>
  <c r="S223" i="10" a="1"/>
  <c r="S223" i="10" s="1"/>
  <c r="S224" i="10" a="1"/>
  <c r="S224" i="10" s="1"/>
  <c r="S225" i="10" a="1"/>
  <c r="S225" i="10" s="1"/>
  <c r="S226" i="10" a="1"/>
  <c r="S226" i="10" s="1"/>
  <c r="S227" i="10" a="1"/>
  <c r="S227" i="10" s="1"/>
  <c r="S228" i="10" a="1"/>
  <c r="S228" i="10" s="1"/>
  <c r="S229" i="10" a="1"/>
  <c r="S229" i="10" s="1"/>
  <c r="S230" i="10" a="1"/>
  <c r="S230" i="10" s="1"/>
  <c r="S231" i="10" a="1"/>
  <c r="S231" i="10" s="1"/>
  <c r="S232" i="10" a="1"/>
  <c r="S232" i="10" s="1"/>
  <c r="S233" i="10" a="1"/>
  <c r="S233" i="10" s="1"/>
  <c r="S234" i="10" a="1"/>
  <c r="S234" i="10" s="1"/>
  <c r="S235" i="10" a="1"/>
  <c r="S235" i="10" s="1"/>
  <c r="S236" i="10" a="1"/>
  <c r="S236" i="10" s="1"/>
  <c r="S237" i="10" a="1"/>
  <c r="S237" i="10" s="1"/>
  <c r="S238" i="10" a="1"/>
  <c r="S238" i="10" s="1"/>
  <c r="S239" i="10" a="1"/>
  <c r="S239" i="10" s="1"/>
  <c r="S240" i="10" a="1"/>
  <c r="S240" i="10" s="1"/>
  <c r="S241" i="10" a="1"/>
  <c r="S241" i="10" s="1"/>
  <c r="S242" i="10" a="1"/>
  <c r="S242" i="10" s="1"/>
  <c r="L165" i="10" a="1"/>
  <c r="L165" i="10" s="1"/>
  <c r="L166" i="10" a="1"/>
  <c r="L166" i="10" s="1"/>
  <c r="L167" i="10" a="1"/>
  <c r="L167" i="10" s="1"/>
  <c r="L168" i="10" a="1"/>
  <c r="L168" i="10" s="1"/>
  <c r="L169" i="10" a="1"/>
  <c r="L169" i="10" s="1"/>
  <c r="L170" i="10" a="1"/>
  <c r="L170" i="10" s="1"/>
  <c r="L171" i="10" a="1"/>
  <c r="L171" i="10" s="1"/>
  <c r="L172" i="10" a="1"/>
  <c r="L172" i="10" s="1"/>
  <c r="L173" i="10" a="1"/>
  <c r="L173" i="10" s="1"/>
  <c r="L174" i="10" a="1"/>
  <c r="L174" i="10" s="1"/>
  <c r="L175" i="10" a="1"/>
  <c r="L175" i="10" s="1"/>
  <c r="L176" i="10" a="1"/>
  <c r="L176" i="10" s="1"/>
  <c r="M176" i="10" s="1"/>
  <c r="L177" i="10" a="1"/>
  <c r="L177" i="10" s="1"/>
  <c r="L178" i="10" a="1"/>
  <c r="L178" i="10" s="1"/>
  <c r="L179" i="10" a="1"/>
  <c r="L179" i="10" s="1"/>
  <c r="L180" i="10" a="1"/>
  <c r="L180" i="10" s="1"/>
  <c r="L181" i="10" a="1"/>
  <c r="L181" i="10" s="1"/>
  <c r="L182" i="10" a="1"/>
  <c r="L182" i="10" s="1"/>
  <c r="L183" i="10" a="1"/>
  <c r="L183" i="10" s="1"/>
  <c r="L184" i="10" a="1"/>
  <c r="L184" i="10" s="1"/>
  <c r="L185" i="10" a="1"/>
  <c r="L185" i="10" s="1"/>
  <c r="L186" i="10" a="1"/>
  <c r="L186" i="10" s="1"/>
  <c r="L187" i="10" a="1"/>
  <c r="L187" i="10" s="1"/>
  <c r="L188" i="10" a="1"/>
  <c r="L188" i="10" s="1"/>
  <c r="L189" i="10" a="1"/>
  <c r="L189" i="10" s="1"/>
  <c r="L190" i="10" a="1"/>
  <c r="L190" i="10" s="1"/>
  <c r="L191" i="10" a="1"/>
  <c r="L191" i="10" s="1"/>
  <c r="L192" i="10" a="1"/>
  <c r="L192" i="10" s="1"/>
  <c r="L193" i="10" a="1"/>
  <c r="L193" i="10" s="1"/>
  <c r="L194" i="10" a="1"/>
  <c r="L194" i="10" s="1"/>
  <c r="L195" i="10" a="1"/>
  <c r="L195" i="10" s="1"/>
  <c r="L196" i="10" a="1"/>
  <c r="L196" i="10" s="1"/>
  <c r="L197" i="10" a="1"/>
  <c r="L197" i="10" s="1"/>
  <c r="L198" i="10" a="1"/>
  <c r="L198" i="10" s="1"/>
  <c r="L199" i="10" a="1"/>
  <c r="L199" i="10" s="1"/>
  <c r="L200" i="10" a="1"/>
  <c r="L200" i="10" s="1"/>
  <c r="L201" i="10" a="1"/>
  <c r="L201" i="10" s="1"/>
  <c r="L202" i="10" a="1"/>
  <c r="L202" i="10" s="1"/>
  <c r="L203" i="10" a="1"/>
  <c r="L203" i="10" s="1"/>
  <c r="L204" i="10" a="1"/>
  <c r="L204" i="10" s="1"/>
  <c r="L205" i="10" a="1"/>
  <c r="L205" i="10" s="1"/>
  <c r="L206" i="10" a="1"/>
  <c r="L206" i="10" s="1"/>
  <c r="L207" i="10" a="1"/>
  <c r="L207" i="10" s="1"/>
  <c r="L208" i="10" a="1"/>
  <c r="L208" i="10" s="1"/>
  <c r="L209" i="10" a="1"/>
  <c r="L209" i="10" s="1"/>
  <c r="L210" i="10" a="1"/>
  <c r="L210" i="10" s="1"/>
  <c r="L211" i="10" a="1"/>
  <c r="L211" i="10" s="1"/>
  <c r="L212" i="10" a="1"/>
  <c r="L212" i="10" s="1"/>
  <c r="L213" i="10" a="1"/>
  <c r="L213" i="10" s="1"/>
  <c r="L214" i="10" a="1"/>
  <c r="L214" i="10" s="1"/>
  <c r="L215" i="10" a="1"/>
  <c r="L215" i="10" s="1"/>
  <c r="L216" i="10" a="1"/>
  <c r="L216" i="10" s="1"/>
  <c r="L217" i="10" a="1"/>
  <c r="L217" i="10" s="1"/>
  <c r="L218" i="10" a="1"/>
  <c r="L218" i="10" s="1"/>
  <c r="L219" i="10" a="1"/>
  <c r="L219" i="10" s="1"/>
  <c r="L220" i="10" a="1"/>
  <c r="L220" i="10" s="1"/>
  <c r="L221" i="10" a="1"/>
  <c r="L221" i="10" s="1"/>
  <c r="L222" i="10" a="1"/>
  <c r="L222" i="10" s="1"/>
  <c r="L223" i="10" a="1"/>
  <c r="L223" i="10" s="1"/>
  <c r="L224" i="10" a="1"/>
  <c r="L224" i="10" s="1"/>
  <c r="L225" i="10" a="1"/>
  <c r="L225" i="10" s="1"/>
  <c r="L226" i="10" a="1"/>
  <c r="L226" i="10" s="1"/>
  <c r="L227" i="10" a="1"/>
  <c r="L227" i="10" s="1"/>
  <c r="L228" i="10" a="1"/>
  <c r="L228" i="10" s="1"/>
  <c r="L229" i="10" a="1"/>
  <c r="L229" i="10" s="1"/>
  <c r="L230" i="10" a="1"/>
  <c r="L230" i="10" s="1"/>
  <c r="L231" i="10" a="1"/>
  <c r="L231" i="10" s="1"/>
  <c r="L232" i="10" a="1"/>
  <c r="L232" i="10" s="1"/>
  <c r="L233" i="10" a="1"/>
  <c r="L233" i="10" s="1"/>
  <c r="L234" i="10" a="1"/>
  <c r="L234" i="10" s="1"/>
  <c r="L235" i="10" a="1"/>
  <c r="L235" i="10" s="1"/>
  <c r="L236" i="10" a="1"/>
  <c r="L236" i="10" s="1"/>
  <c r="L237" i="10" a="1"/>
  <c r="L237" i="10" s="1"/>
  <c r="L238" i="10" a="1"/>
  <c r="L238" i="10" s="1"/>
  <c r="L239" i="10" a="1"/>
  <c r="L239" i="10" s="1"/>
  <c r="L240" i="10" a="1"/>
  <c r="L240" i="10" s="1"/>
  <c r="L241" i="10" a="1"/>
  <c r="L241" i="10" s="1"/>
  <c r="L242" i="10" a="1"/>
  <c r="L242" i="10" s="1"/>
  <c r="K165" i="10" a="1"/>
  <c r="K165" i="10" s="1"/>
  <c r="M165" i="10" s="1"/>
  <c r="K166" i="10" a="1"/>
  <c r="K166" i="10" s="1"/>
  <c r="M166" i="10" s="1"/>
  <c r="K167" i="10" a="1"/>
  <c r="K167" i="10" s="1"/>
  <c r="M167" i="10" s="1"/>
  <c r="K168" i="10" a="1"/>
  <c r="K168" i="10" s="1"/>
  <c r="M168" i="10" s="1"/>
  <c r="K169" i="10" a="1"/>
  <c r="K169" i="10" s="1"/>
  <c r="M169" i="10" s="1"/>
  <c r="K170" i="10" a="1"/>
  <c r="K170" i="10" s="1"/>
  <c r="M170" i="10" s="1"/>
  <c r="K171" i="10" a="1"/>
  <c r="K171" i="10" s="1"/>
  <c r="M171" i="10" s="1"/>
  <c r="K172" i="10" a="1"/>
  <c r="K172" i="10" s="1"/>
  <c r="M172" i="10" s="1"/>
  <c r="K173" i="10" a="1"/>
  <c r="K173" i="10" s="1"/>
  <c r="M173" i="10" s="1"/>
  <c r="K174" i="10" a="1"/>
  <c r="K174" i="10" s="1"/>
  <c r="M174" i="10" s="1"/>
  <c r="K175" i="10" a="1"/>
  <c r="K175" i="10" s="1"/>
  <c r="M175" i="10" s="1"/>
  <c r="K177" i="10" a="1"/>
  <c r="K177" i="10" s="1"/>
  <c r="M177" i="10" s="1"/>
  <c r="K178" i="10" a="1"/>
  <c r="K178" i="10" s="1"/>
  <c r="M178" i="10" s="1"/>
  <c r="K179" i="10" a="1"/>
  <c r="K179" i="10" s="1"/>
  <c r="M179" i="10" s="1"/>
  <c r="K180" i="10" a="1"/>
  <c r="K180" i="10" s="1"/>
  <c r="M180" i="10" s="1"/>
  <c r="K181" i="10" a="1"/>
  <c r="K181" i="10" s="1"/>
  <c r="M181" i="10" s="1"/>
  <c r="K182" i="10" a="1"/>
  <c r="K182" i="10" s="1"/>
  <c r="M182" i="10" s="1"/>
  <c r="K183" i="10" a="1"/>
  <c r="K183" i="10" s="1"/>
  <c r="M183" i="10" s="1"/>
  <c r="K184" i="10" a="1"/>
  <c r="K184" i="10" s="1"/>
  <c r="M184" i="10" s="1"/>
  <c r="K185" i="10" a="1"/>
  <c r="K185" i="10" s="1"/>
  <c r="M185" i="10" s="1"/>
  <c r="K186" i="10" a="1"/>
  <c r="K186" i="10" s="1"/>
  <c r="M186" i="10" s="1"/>
  <c r="K187" i="10" a="1"/>
  <c r="K187" i="10" s="1"/>
  <c r="M187" i="10" s="1"/>
  <c r="K188" i="10" a="1"/>
  <c r="K188" i="10" s="1"/>
  <c r="M188" i="10" s="1"/>
  <c r="K189" i="10" a="1"/>
  <c r="K189" i="10" s="1"/>
  <c r="M189" i="10" s="1"/>
  <c r="K190" i="10" a="1"/>
  <c r="K190" i="10" s="1"/>
  <c r="M190" i="10" s="1"/>
  <c r="K191" i="10" a="1"/>
  <c r="K191" i="10" s="1"/>
  <c r="M191" i="10" s="1"/>
  <c r="K192" i="10" a="1"/>
  <c r="K192" i="10" s="1"/>
  <c r="M192" i="10" s="1"/>
  <c r="K193" i="10" a="1"/>
  <c r="K193" i="10" s="1"/>
  <c r="M193" i="10" s="1"/>
  <c r="K194" i="10" a="1"/>
  <c r="K194" i="10" s="1"/>
  <c r="M194" i="10" s="1"/>
  <c r="K195" i="10" a="1"/>
  <c r="K195" i="10" s="1"/>
  <c r="M195" i="10" s="1"/>
  <c r="K196" i="10" a="1"/>
  <c r="K196" i="10" s="1"/>
  <c r="M196" i="10" s="1"/>
  <c r="K197" i="10" a="1"/>
  <c r="K197" i="10" s="1"/>
  <c r="M197" i="10" s="1"/>
  <c r="K198" i="10" a="1"/>
  <c r="K198" i="10" s="1"/>
  <c r="M198" i="10" s="1"/>
  <c r="K199" i="10" a="1"/>
  <c r="K199" i="10" s="1"/>
  <c r="M199" i="10" s="1"/>
  <c r="K200" i="10" a="1"/>
  <c r="K200" i="10" s="1"/>
  <c r="M200" i="10" s="1"/>
  <c r="K201" i="10" a="1"/>
  <c r="K201" i="10" s="1"/>
  <c r="M201" i="10" s="1"/>
  <c r="K202" i="10" a="1"/>
  <c r="K202" i="10" s="1"/>
  <c r="M202" i="10" s="1"/>
  <c r="K203" i="10" a="1"/>
  <c r="K203" i="10" s="1"/>
  <c r="M203" i="10" s="1"/>
  <c r="K204" i="10" a="1"/>
  <c r="K204" i="10" s="1"/>
  <c r="M204" i="10" s="1"/>
  <c r="K205" i="10" a="1"/>
  <c r="K205" i="10" s="1"/>
  <c r="M205" i="10" s="1"/>
  <c r="K206" i="10" a="1"/>
  <c r="K206" i="10" s="1"/>
  <c r="M206" i="10" s="1"/>
  <c r="K207" i="10" a="1"/>
  <c r="K207" i="10" s="1"/>
  <c r="M207" i="10" s="1"/>
  <c r="K208" i="10" a="1"/>
  <c r="K208" i="10" s="1"/>
  <c r="M208" i="10" s="1"/>
  <c r="K209" i="10" a="1"/>
  <c r="K209" i="10" s="1"/>
  <c r="M209" i="10" s="1"/>
  <c r="K210" i="10" a="1"/>
  <c r="K210" i="10" s="1"/>
  <c r="M210" i="10" s="1"/>
  <c r="K211" i="10" a="1"/>
  <c r="K211" i="10" s="1"/>
  <c r="M211" i="10" s="1"/>
  <c r="K212" i="10" a="1"/>
  <c r="K212" i="10" s="1"/>
  <c r="M212" i="10" s="1"/>
  <c r="K213" i="10" a="1"/>
  <c r="K213" i="10" s="1"/>
  <c r="M213" i="10" s="1"/>
  <c r="K214" i="10" a="1"/>
  <c r="K214" i="10" s="1"/>
  <c r="M214" i="10" s="1"/>
  <c r="K215" i="10" a="1"/>
  <c r="K215" i="10" s="1"/>
  <c r="M215" i="10" s="1"/>
  <c r="K216" i="10" a="1"/>
  <c r="K216" i="10" s="1"/>
  <c r="M216" i="10" s="1"/>
  <c r="K217" i="10" a="1"/>
  <c r="K217" i="10" s="1"/>
  <c r="M217" i="10" s="1"/>
  <c r="K218" i="10" a="1"/>
  <c r="K218" i="10" s="1"/>
  <c r="M218" i="10" s="1"/>
  <c r="K219" i="10" a="1"/>
  <c r="K219" i="10" s="1"/>
  <c r="M219" i="10" s="1"/>
  <c r="K220" i="10" a="1"/>
  <c r="K220" i="10" s="1"/>
  <c r="M220" i="10" s="1"/>
  <c r="K221" i="10" a="1"/>
  <c r="K221" i="10" s="1"/>
  <c r="M221" i="10" s="1"/>
  <c r="K222" i="10" a="1"/>
  <c r="K222" i="10" s="1"/>
  <c r="M222" i="10" s="1"/>
  <c r="K223" i="10" a="1"/>
  <c r="K223" i="10" s="1"/>
  <c r="M223" i="10" s="1"/>
  <c r="K224" i="10" a="1"/>
  <c r="K224" i="10" s="1"/>
  <c r="M224" i="10" s="1"/>
  <c r="K225" i="10" a="1"/>
  <c r="K225" i="10" s="1"/>
  <c r="M225" i="10" s="1"/>
  <c r="K226" i="10" a="1"/>
  <c r="K226" i="10" s="1"/>
  <c r="M226" i="10" s="1"/>
  <c r="K227" i="10" a="1"/>
  <c r="K227" i="10" s="1"/>
  <c r="M227" i="10" s="1"/>
  <c r="K228" i="10" a="1"/>
  <c r="K228" i="10" s="1"/>
  <c r="M228" i="10" s="1"/>
  <c r="K229" i="10" a="1"/>
  <c r="K229" i="10" s="1"/>
  <c r="M229" i="10" s="1"/>
  <c r="K230" i="10" a="1"/>
  <c r="K230" i="10" s="1"/>
  <c r="M230" i="10" s="1"/>
  <c r="K231" i="10" a="1"/>
  <c r="K231" i="10" s="1"/>
  <c r="M231" i="10" s="1"/>
  <c r="K232" i="10" a="1"/>
  <c r="K232" i="10" s="1"/>
  <c r="M232" i="10" s="1"/>
  <c r="K233" i="10" a="1"/>
  <c r="K233" i="10" s="1"/>
  <c r="M233" i="10" s="1"/>
  <c r="K234" i="10" a="1"/>
  <c r="K234" i="10" s="1"/>
  <c r="M234" i="10" s="1"/>
  <c r="K235" i="10" a="1"/>
  <c r="K235" i="10" s="1"/>
  <c r="M235" i="10" s="1"/>
  <c r="K236" i="10" a="1"/>
  <c r="K236" i="10" s="1"/>
  <c r="M236" i="10" s="1"/>
  <c r="K237" i="10" a="1"/>
  <c r="K237" i="10" s="1"/>
  <c r="M237" i="10" s="1"/>
  <c r="K238" i="10" a="1"/>
  <c r="K238" i="10" s="1"/>
  <c r="M238" i="10" s="1"/>
  <c r="K239" i="10" a="1"/>
  <c r="K239" i="10" s="1"/>
  <c r="M239" i="10" s="1"/>
  <c r="K240" i="10" a="1"/>
  <c r="K240" i="10" s="1"/>
  <c r="M240" i="10" s="1"/>
  <c r="K241" i="10" a="1"/>
  <c r="K241" i="10" s="1"/>
  <c r="M241" i="10" s="1"/>
  <c r="K242" i="10" a="1"/>
  <c r="K242" i="10" s="1"/>
  <c r="M242" i="10" s="1"/>
  <c r="H242" i="10"/>
  <c r="E242" i="10"/>
  <c r="D242" i="10"/>
  <c r="H241" i="10"/>
  <c r="E241" i="10"/>
  <c r="D241" i="10"/>
  <c r="H240" i="10"/>
  <c r="E240" i="10"/>
  <c r="D240" i="10"/>
  <c r="H239" i="10"/>
  <c r="E239" i="10"/>
  <c r="D239" i="10"/>
  <c r="H238" i="10"/>
  <c r="E238" i="10"/>
  <c r="D238" i="10"/>
  <c r="H237" i="10"/>
  <c r="E237" i="10"/>
  <c r="D237" i="10"/>
  <c r="H236" i="10"/>
  <c r="E236" i="10"/>
  <c r="D236" i="10"/>
  <c r="H235" i="10"/>
  <c r="E235" i="10"/>
  <c r="D235" i="10"/>
  <c r="H234" i="10"/>
  <c r="E234" i="10"/>
  <c r="D234" i="10"/>
  <c r="H233" i="10"/>
  <c r="E233" i="10"/>
  <c r="D233" i="10"/>
  <c r="H232" i="10"/>
  <c r="E232" i="10"/>
  <c r="D232" i="10"/>
  <c r="H231" i="10"/>
  <c r="E231" i="10"/>
  <c r="D231" i="10"/>
  <c r="H230" i="10"/>
  <c r="E230" i="10"/>
  <c r="D230" i="10"/>
  <c r="H229" i="10"/>
  <c r="E229" i="10"/>
  <c r="D229" i="10"/>
  <c r="H228" i="10"/>
  <c r="E228" i="10"/>
  <c r="D228" i="10"/>
  <c r="H227" i="10"/>
  <c r="E227" i="10"/>
  <c r="D227" i="10"/>
  <c r="H226" i="10"/>
  <c r="E226" i="10"/>
  <c r="D226" i="10"/>
  <c r="H225" i="10"/>
  <c r="E225" i="10"/>
  <c r="D225" i="10"/>
  <c r="H224" i="10"/>
  <c r="E224" i="10"/>
  <c r="D224" i="10"/>
  <c r="H223" i="10"/>
  <c r="E223" i="10"/>
  <c r="D223" i="10"/>
  <c r="H222" i="10"/>
  <c r="E222" i="10"/>
  <c r="D222" i="10"/>
  <c r="H221" i="10"/>
  <c r="E221" i="10"/>
  <c r="D221" i="10"/>
  <c r="H220" i="10"/>
  <c r="E220" i="10"/>
  <c r="D220" i="10"/>
  <c r="H219" i="10"/>
  <c r="E219" i="10"/>
  <c r="D219" i="10"/>
  <c r="H218" i="10"/>
  <c r="E218" i="10"/>
  <c r="D218" i="10"/>
  <c r="H217" i="10"/>
  <c r="E217" i="10"/>
  <c r="D217" i="10"/>
  <c r="H216" i="10"/>
  <c r="E216" i="10"/>
  <c r="D216" i="10"/>
  <c r="H215" i="10"/>
  <c r="E215" i="10"/>
  <c r="D215" i="10"/>
  <c r="H214" i="10"/>
  <c r="E214" i="10"/>
  <c r="D214" i="10"/>
  <c r="H213" i="10"/>
  <c r="E213" i="10"/>
  <c r="D213" i="10"/>
  <c r="H212" i="10"/>
  <c r="E212" i="10"/>
  <c r="D212" i="10"/>
  <c r="H211" i="10"/>
  <c r="E211" i="10"/>
  <c r="D211" i="10"/>
  <c r="H210" i="10"/>
  <c r="E210" i="10"/>
  <c r="D210" i="10"/>
  <c r="H209" i="10"/>
  <c r="E209" i="10"/>
  <c r="D209" i="10"/>
  <c r="H208" i="10"/>
  <c r="E208" i="10"/>
  <c r="D208" i="10"/>
  <c r="H207" i="10"/>
  <c r="E207" i="10"/>
  <c r="D207" i="10"/>
  <c r="H206" i="10"/>
  <c r="E206" i="10"/>
  <c r="D206" i="10"/>
  <c r="H205" i="10"/>
  <c r="E205" i="10"/>
  <c r="D205" i="10"/>
  <c r="H204" i="10"/>
  <c r="E204" i="10"/>
  <c r="D204" i="10"/>
  <c r="H203" i="10"/>
  <c r="E203" i="10"/>
  <c r="D203" i="10"/>
  <c r="H202" i="10"/>
  <c r="E202" i="10"/>
  <c r="D202" i="10"/>
  <c r="H201" i="10"/>
  <c r="E201" i="10"/>
  <c r="D201" i="10"/>
  <c r="C7" i="15"/>
  <c r="C11" i="15"/>
  <c r="H200" i="10"/>
  <c r="E200" i="10"/>
  <c r="D200" i="10"/>
  <c r="H199" i="10"/>
  <c r="E199" i="10"/>
  <c r="D199" i="10"/>
  <c r="H198" i="10"/>
  <c r="E198" i="10"/>
  <c r="D198" i="10"/>
  <c r="H197" i="10"/>
  <c r="E197" i="10"/>
  <c r="D197" i="10"/>
  <c r="H196" i="10"/>
  <c r="E196" i="10"/>
  <c r="D196" i="10"/>
  <c r="H195" i="10"/>
  <c r="E195" i="10"/>
  <c r="D195" i="10"/>
  <c r="H194" i="10"/>
  <c r="E194" i="10"/>
  <c r="D194" i="10"/>
  <c r="H193" i="10"/>
  <c r="E193" i="10"/>
  <c r="D193" i="10"/>
  <c r="H192" i="10"/>
  <c r="E192" i="10"/>
  <c r="D192" i="10"/>
  <c r="H191" i="10"/>
  <c r="E191" i="10"/>
  <c r="D191" i="10"/>
  <c r="H190" i="10"/>
  <c r="E190" i="10"/>
  <c r="D190" i="10"/>
  <c r="H189" i="10"/>
  <c r="E189" i="10"/>
  <c r="D189" i="10"/>
  <c r="H188" i="10"/>
  <c r="E188" i="10"/>
  <c r="D188" i="10"/>
  <c r="H187" i="10"/>
  <c r="E187" i="10"/>
  <c r="D187" i="10"/>
  <c r="H186" i="10"/>
  <c r="E186" i="10"/>
  <c r="D186" i="10"/>
  <c r="H185" i="10"/>
  <c r="E185" i="10"/>
  <c r="D185" i="10"/>
  <c r="H184" i="10"/>
  <c r="E184" i="10"/>
  <c r="D184" i="10"/>
  <c r="H183" i="10"/>
  <c r="E183" i="10"/>
  <c r="D183" i="10"/>
  <c r="H182" i="10"/>
  <c r="E182" i="10"/>
  <c r="D182" i="10"/>
  <c r="H181" i="10"/>
  <c r="E181" i="10"/>
  <c r="D181" i="10"/>
  <c r="H180" i="10"/>
  <c r="E180" i="10"/>
  <c r="D180" i="10"/>
  <c r="X11" i="15"/>
  <c r="W11" i="15"/>
  <c r="V10" i="15"/>
  <c r="V11" i="15"/>
  <c r="V12" i="15"/>
  <c r="V13" i="15"/>
  <c r="V14" i="15"/>
  <c r="V18" i="15"/>
  <c r="V19" i="15"/>
  <c r="V20" i="15"/>
  <c r="V21" i="15"/>
  <c r="V22" i="15"/>
  <c r="V23" i="15"/>
  <c r="V24" i="15"/>
  <c r="V26" i="15"/>
  <c r="V27" i="15"/>
  <c r="V28" i="15"/>
  <c r="V29" i="15"/>
  <c r="V30" i="15"/>
  <c r="U11" i="15"/>
  <c r="T11" i="15"/>
  <c r="S11" i="15"/>
  <c r="O11" i="15"/>
  <c r="X7" i="15"/>
  <c r="W7" i="15"/>
  <c r="V3" i="15"/>
  <c r="V4" i="15"/>
  <c r="V5" i="15"/>
  <c r="V6" i="15"/>
  <c r="V7" i="15"/>
  <c r="V8" i="15"/>
  <c r="V9" i="15"/>
  <c r="V2" i="15"/>
  <c r="U7" i="15"/>
  <c r="T7" i="15"/>
  <c r="S7" i="15"/>
  <c r="R7" i="15"/>
  <c r="R11" i="15"/>
  <c r="Q7" i="15"/>
  <c r="Q11" i="15"/>
  <c r="O7" i="15"/>
  <c r="N7" i="15"/>
  <c r="N11" i="15"/>
  <c r="D7" i="15"/>
  <c r="D11" i="15"/>
  <c r="D7" i="12"/>
  <c r="D11" i="12"/>
  <c r="X11" i="12"/>
  <c r="W11" i="12"/>
  <c r="V10" i="12"/>
  <c r="V11" i="12"/>
  <c r="V12" i="12"/>
  <c r="V13" i="12"/>
  <c r="V14" i="12"/>
  <c r="V18" i="12"/>
  <c r="V19" i="12"/>
  <c r="V20" i="12"/>
  <c r="V21" i="12"/>
  <c r="V22" i="12"/>
  <c r="V23" i="12"/>
  <c r="V24" i="12"/>
  <c r="V26" i="12"/>
  <c r="V27" i="12"/>
  <c r="V28" i="12"/>
  <c r="V29" i="12"/>
  <c r="V30" i="12"/>
  <c r="U11" i="12"/>
  <c r="Q11" i="12"/>
  <c r="O11" i="12"/>
  <c r="N11" i="12"/>
  <c r="X7" i="12"/>
  <c r="W7" i="12"/>
  <c r="U7" i="12"/>
  <c r="T7" i="12"/>
  <c r="T11" i="12"/>
  <c r="V2" i="12"/>
  <c r="V3" i="12"/>
  <c r="V4" i="12"/>
  <c r="V5" i="12"/>
  <c r="V6" i="12"/>
  <c r="V7" i="12"/>
  <c r="V8" i="12"/>
  <c r="V9" i="12"/>
  <c r="S7" i="12"/>
  <c r="S11" i="12"/>
  <c r="R7" i="12"/>
  <c r="R11" i="12"/>
  <c r="Q7" i="12"/>
  <c r="P11" i="12"/>
  <c r="S2" i="10" a="1"/>
  <c r="S2" i="10" s="1"/>
  <c r="O7" i="12"/>
  <c r="N7" i="12"/>
  <c r="C11" i="12"/>
  <c r="C7" i="12"/>
  <c r="AC142" i="10" a="1"/>
  <c r="AC142" i="10" s="1"/>
  <c r="AC143" i="10" a="1"/>
  <c r="AC143" i="10" s="1"/>
  <c r="AC144" i="10" a="1"/>
  <c r="AC144" i="10" s="1"/>
  <c r="AC145" i="10" a="1"/>
  <c r="AC145" i="10" s="1"/>
  <c r="AC146" i="10" a="1"/>
  <c r="AC146" i="10" s="1"/>
  <c r="AC147" i="10" a="1"/>
  <c r="AC147" i="10" s="1"/>
  <c r="AC148" i="10" a="1"/>
  <c r="AC148" i="10" s="1"/>
  <c r="AC149" i="10" a="1"/>
  <c r="AC149" i="10" s="1"/>
  <c r="AC150" i="10" a="1"/>
  <c r="AC150" i="10" s="1"/>
  <c r="AC151" i="10" a="1"/>
  <c r="AC151" i="10" s="1"/>
  <c r="AC152" i="10" a="1"/>
  <c r="AC152" i="10" s="1"/>
  <c r="AC153" i="10" a="1"/>
  <c r="AC153" i="10" s="1"/>
  <c r="AC154" i="10" a="1"/>
  <c r="AC154" i="10" s="1"/>
  <c r="AC155" i="10" a="1"/>
  <c r="AC155" i="10" s="1"/>
  <c r="AC156" i="10" a="1"/>
  <c r="AC156" i="10" s="1"/>
  <c r="AC157" i="10" a="1"/>
  <c r="AC157" i="10" s="1"/>
  <c r="AC158" i="10" a="1"/>
  <c r="AC158" i="10" s="1"/>
  <c r="AC159" i="10" a="1"/>
  <c r="AC159" i="10" s="1"/>
  <c r="AC160" i="10" a="1"/>
  <c r="AC160" i="10" s="1"/>
  <c r="AC161" i="10" a="1"/>
  <c r="AC161" i="10" s="1"/>
  <c r="AC162" i="10" a="1"/>
  <c r="AC162" i="10" s="1"/>
  <c r="AC163" i="10" a="1"/>
  <c r="AC163" i="10" s="1"/>
  <c r="AC164" i="10" a="1"/>
  <c r="AC164" i="10" s="1"/>
  <c r="AC165" i="10" a="1"/>
  <c r="AC165" i="10" s="1"/>
  <c r="AE165" i="10" s="1" a="1"/>
  <c r="AE165" i="10" s="1"/>
  <c r="AC166" i="10" a="1"/>
  <c r="AC166" i="10" s="1"/>
  <c r="AE166" i="10" s="1" a="1"/>
  <c r="AE166" i="10" s="1"/>
  <c r="AC167" i="10" a="1"/>
  <c r="AC167" i="10" s="1"/>
  <c r="AE167" i="10" s="1" a="1"/>
  <c r="AE167" i="10" s="1"/>
  <c r="AC168" i="10" a="1"/>
  <c r="AC168" i="10" s="1"/>
  <c r="AC118" i="10" a="1"/>
  <c r="AC118" i="10" s="1"/>
  <c r="AC119" i="10" a="1"/>
  <c r="AC119" i="10" s="1"/>
  <c r="AC120" i="10" a="1"/>
  <c r="AC120" i="10" s="1"/>
  <c r="AC121" i="10" a="1"/>
  <c r="AC121" i="10" s="1"/>
  <c r="AC122" i="10" a="1"/>
  <c r="AC122" i="10" s="1"/>
  <c r="AC123" i="10" a="1"/>
  <c r="AC123" i="10" s="1"/>
  <c r="AC124" i="10" a="1"/>
  <c r="AC124" i="10" s="1"/>
  <c r="AC125" i="10" a="1"/>
  <c r="AC125" i="10" s="1"/>
  <c r="AC126" i="10" a="1"/>
  <c r="AC126" i="10" s="1"/>
  <c r="AC127" i="10" a="1"/>
  <c r="AC127" i="10" s="1"/>
  <c r="AC128" i="10" a="1"/>
  <c r="AC128" i="10" s="1"/>
  <c r="AC129" i="10" a="1"/>
  <c r="AC129" i="10" s="1"/>
  <c r="AC130" i="10" a="1"/>
  <c r="AC130" i="10" s="1"/>
  <c r="AC131" i="10" a="1"/>
  <c r="AC131" i="10" s="1"/>
  <c r="AC132" i="10" a="1"/>
  <c r="AC132" i="10" s="1"/>
  <c r="AC133" i="10" a="1"/>
  <c r="AC133" i="10" s="1"/>
  <c r="AC134" i="10" a="1"/>
  <c r="AC134" i="10" s="1"/>
  <c r="AC135" i="10" a="1"/>
  <c r="AC135" i="10" s="1"/>
  <c r="AC136" i="10" a="1"/>
  <c r="AC136" i="10" s="1"/>
  <c r="AC137" i="10" a="1"/>
  <c r="AC137" i="10" s="1"/>
  <c r="AC138" i="10" a="1"/>
  <c r="AC138" i="10" s="1"/>
  <c r="AC139" i="10" a="1"/>
  <c r="AC139" i="10" s="1"/>
  <c r="AC140" i="10" a="1"/>
  <c r="AC140" i="10" s="1"/>
  <c r="AC141" i="10" a="1"/>
  <c r="AC141" i="10" s="1"/>
  <c r="AC3" i="10" a="1"/>
  <c r="AC3" i="10" s="1"/>
  <c r="AC4" i="10" a="1"/>
  <c r="AC4" i="10" s="1"/>
  <c r="AC5" i="10" a="1"/>
  <c r="AC5" i="10" s="1"/>
  <c r="AC6" i="10" a="1"/>
  <c r="AC6" i="10" s="1"/>
  <c r="AC7" i="10" a="1"/>
  <c r="AC7" i="10" s="1"/>
  <c r="AC8" i="10" a="1"/>
  <c r="AC8" i="10" s="1"/>
  <c r="AC9" i="10" a="1"/>
  <c r="AC9" i="10" s="1"/>
  <c r="AC10" i="10" a="1"/>
  <c r="AC10" i="10" s="1"/>
  <c r="AC11" i="10" a="1"/>
  <c r="AC11" i="10" s="1"/>
  <c r="AC12" i="10" a="1"/>
  <c r="AC12" i="10" s="1"/>
  <c r="AC13" i="10" a="1"/>
  <c r="AC13" i="10" s="1"/>
  <c r="AC14" i="10" a="1"/>
  <c r="AC14" i="10" s="1"/>
  <c r="AC15" i="10" a="1"/>
  <c r="AC15" i="10" s="1"/>
  <c r="AC16" i="10" a="1"/>
  <c r="AC16" i="10" s="1"/>
  <c r="AC17" i="10" a="1"/>
  <c r="AC17" i="10" s="1"/>
  <c r="AC18" i="10" a="1"/>
  <c r="AC18" i="10" s="1"/>
  <c r="AC19" i="10" a="1"/>
  <c r="AC19" i="10" s="1"/>
  <c r="AC20" i="10" a="1"/>
  <c r="AC20" i="10" s="1"/>
  <c r="AC21" i="10" a="1"/>
  <c r="AC21" i="10" s="1"/>
  <c r="AC22" i="10" a="1"/>
  <c r="AC22" i="10" s="1"/>
  <c r="AC23" i="10" a="1"/>
  <c r="AC23" i="10" s="1"/>
  <c r="AC24" i="10" a="1"/>
  <c r="AC24" i="10" s="1"/>
  <c r="AC25" i="10" a="1"/>
  <c r="AC25" i="10" s="1"/>
  <c r="AC26" i="10" a="1"/>
  <c r="AC26" i="10" s="1"/>
  <c r="AC27" i="10" a="1"/>
  <c r="AC27" i="10" s="1"/>
  <c r="AC28" i="10" a="1"/>
  <c r="AC28" i="10" s="1"/>
  <c r="AC29" i="10" a="1"/>
  <c r="AC29" i="10" s="1"/>
  <c r="AC30" i="10" a="1"/>
  <c r="AC30" i="10" s="1"/>
  <c r="AC31" i="10" a="1"/>
  <c r="AC31" i="10" s="1"/>
  <c r="AC32" i="10" a="1"/>
  <c r="AC32" i="10" s="1"/>
  <c r="AC33" i="10" a="1"/>
  <c r="AC33" i="10" s="1"/>
  <c r="AC34" i="10" a="1"/>
  <c r="AC34" i="10" s="1"/>
  <c r="AC35" i="10" a="1"/>
  <c r="AC35" i="10" s="1"/>
  <c r="AC36" i="10" a="1"/>
  <c r="AC36" i="10" s="1"/>
  <c r="AC37" i="10" a="1"/>
  <c r="AC37" i="10" s="1"/>
  <c r="AC38" i="10" a="1"/>
  <c r="AC38" i="10" s="1"/>
  <c r="AC39" i="10" a="1"/>
  <c r="AC39" i="10" s="1"/>
  <c r="AC40" i="10" a="1"/>
  <c r="AC40" i="10" s="1"/>
  <c r="AC41" i="10" a="1"/>
  <c r="AC41" i="10" s="1"/>
  <c r="AC42" i="10" a="1"/>
  <c r="AC42" i="10" s="1"/>
  <c r="AC43" i="10" a="1"/>
  <c r="AC43" i="10" s="1"/>
  <c r="AC44" i="10" a="1"/>
  <c r="AC44" i="10" s="1"/>
  <c r="AC45" i="10" a="1"/>
  <c r="AC45" i="10" s="1"/>
  <c r="AC46" i="10" a="1"/>
  <c r="AC46" i="10" s="1"/>
  <c r="AC47" i="10" a="1"/>
  <c r="AC47" i="10" s="1"/>
  <c r="AC48" i="10" a="1"/>
  <c r="AC48" i="10" s="1"/>
  <c r="AC49" i="10" a="1"/>
  <c r="AC49" i="10" s="1"/>
  <c r="AC50" i="10" a="1"/>
  <c r="AC50" i="10" s="1"/>
  <c r="AC51" i="10" a="1"/>
  <c r="AC51" i="10" s="1"/>
  <c r="AC52" i="10" a="1"/>
  <c r="AC52" i="10" s="1"/>
  <c r="AC53" i="10" a="1"/>
  <c r="AC53" i="10" s="1"/>
  <c r="AC54" i="10" a="1"/>
  <c r="AC54" i="10" s="1"/>
  <c r="AC55" i="10" a="1"/>
  <c r="AC55" i="10" s="1"/>
  <c r="AC56" i="10" a="1"/>
  <c r="AC56" i="10" s="1"/>
  <c r="AC57" i="10" a="1"/>
  <c r="AC57" i="10" s="1"/>
  <c r="AC58" i="10" a="1"/>
  <c r="AC58" i="10" s="1"/>
  <c r="AC59" i="10" a="1"/>
  <c r="AC59" i="10" s="1"/>
  <c r="AC60" i="10" a="1"/>
  <c r="AC60" i="10" s="1"/>
  <c r="AC61" i="10" a="1"/>
  <c r="AC61" i="10" s="1"/>
  <c r="AC62" i="10" a="1"/>
  <c r="AC62" i="10" s="1"/>
  <c r="AC63" i="10" a="1"/>
  <c r="AC63" i="10" s="1"/>
  <c r="AC64" i="10" a="1"/>
  <c r="AC64" i="10" s="1"/>
  <c r="AC65" i="10" a="1"/>
  <c r="AC65" i="10" s="1"/>
  <c r="AC66" i="10" a="1"/>
  <c r="AC66" i="10" s="1"/>
  <c r="AC67" i="10" a="1"/>
  <c r="AC67" i="10" s="1"/>
  <c r="AC68" i="10" a="1"/>
  <c r="AC68" i="10" s="1"/>
  <c r="AC69" i="10" a="1"/>
  <c r="AC69" i="10" s="1"/>
  <c r="AC70" i="10" a="1"/>
  <c r="AC70" i="10" s="1"/>
  <c r="AC71" i="10" a="1"/>
  <c r="AC71" i="10" s="1"/>
  <c r="AC72" i="10" a="1"/>
  <c r="AC72" i="10" s="1"/>
  <c r="AC73" i="10" a="1"/>
  <c r="AC73" i="10" s="1"/>
  <c r="AC74" i="10" a="1"/>
  <c r="AC74" i="10" s="1"/>
  <c r="AC75" i="10" a="1"/>
  <c r="AC75" i="10" s="1"/>
  <c r="AC76" i="10" a="1"/>
  <c r="AC76" i="10" s="1"/>
  <c r="AC77" i="10" a="1"/>
  <c r="AC77" i="10" s="1"/>
  <c r="AC78" i="10" a="1"/>
  <c r="AC78" i="10" s="1"/>
  <c r="AC79" i="10" a="1"/>
  <c r="AC79" i="10" s="1"/>
  <c r="AC80" i="10" a="1"/>
  <c r="AC80" i="10" s="1"/>
  <c r="AC81" i="10" a="1"/>
  <c r="AC81" i="10" s="1"/>
  <c r="AC82" i="10" a="1"/>
  <c r="AC82" i="10" s="1"/>
  <c r="AC83" i="10" a="1"/>
  <c r="AC83" i="10" s="1"/>
  <c r="AC84" i="10" a="1"/>
  <c r="AC84" i="10" s="1"/>
  <c r="AC85" i="10" a="1"/>
  <c r="AC85" i="10" s="1"/>
  <c r="AC86" i="10" a="1"/>
  <c r="AC86" i="10" s="1"/>
  <c r="AC87" i="10" a="1"/>
  <c r="AC87" i="10" s="1"/>
  <c r="AC88" i="10" a="1"/>
  <c r="AC88" i="10" s="1"/>
  <c r="AC89" i="10" a="1"/>
  <c r="AC89" i="10" s="1"/>
  <c r="AC90" i="10" a="1"/>
  <c r="AC90" i="10" s="1"/>
  <c r="AC91" i="10" a="1"/>
  <c r="AC91" i="10" s="1"/>
  <c r="AC92" i="10" a="1"/>
  <c r="AC92" i="10" s="1"/>
  <c r="AC93" i="10" a="1"/>
  <c r="AC93" i="10" s="1"/>
  <c r="AC94" i="10" a="1"/>
  <c r="AC94" i="10" s="1"/>
  <c r="AC95" i="10" a="1"/>
  <c r="AC95" i="10" s="1"/>
  <c r="AC96" i="10" a="1"/>
  <c r="AC96" i="10" s="1"/>
  <c r="AC97" i="10" a="1"/>
  <c r="AC97" i="10" s="1"/>
  <c r="AC98" i="10" a="1"/>
  <c r="AC98" i="10" s="1"/>
  <c r="AC99" i="10" a="1"/>
  <c r="AC99" i="10" s="1"/>
  <c r="AC100" i="10" a="1"/>
  <c r="AC100" i="10" s="1"/>
  <c r="AC101" i="10" a="1"/>
  <c r="AC101" i="10" s="1"/>
  <c r="AC102" i="10" a="1"/>
  <c r="AC102" i="10" s="1"/>
  <c r="AC103" i="10" a="1"/>
  <c r="AC103" i="10" s="1"/>
  <c r="AC104" i="10" a="1"/>
  <c r="AC104" i="10" s="1"/>
  <c r="AC105" i="10" a="1"/>
  <c r="AC105" i="10" s="1"/>
  <c r="AC106" i="10" a="1"/>
  <c r="AC106" i="10" s="1"/>
  <c r="AC107" i="10" a="1"/>
  <c r="AC107" i="10" s="1"/>
  <c r="AC108" i="10" a="1"/>
  <c r="AC108" i="10" s="1"/>
  <c r="AC109" i="10" a="1"/>
  <c r="AC109" i="10" s="1"/>
  <c r="AC110" i="10" a="1"/>
  <c r="AC110" i="10" s="1"/>
  <c r="AC111" i="10" a="1"/>
  <c r="AC111" i="10" s="1"/>
  <c r="AC112" i="10" a="1"/>
  <c r="AC112" i="10" s="1"/>
  <c r="AC113" i="10" a="1"/>
  <c r="AC113" i="10" s="1"/>
  <c r="AC114" i="10" a="1"/>
  <c r="AC114" i="10" s="1"/>
  <c r="AC115" i="10" a="1"/>
  <c r="AC115" i="10" s="1"/>
  <c r="AC116" i="10" a="1"/>
  <c r="AC116" i="10" s="1"/>
  <c r="AC117" i="10" a="1"/>
  <c r="AC117" i="10" s="1"/>
  <c r="AC2" i="10" a="1"/>
  <c r="AC2" i="10" s="1"/>
  <c r="AD2" i="10" s="1" a="1"/>
  <c r="AD2" i="10" s="1"/>
  <c r="AB2" i="10" a="1"/>
  <c r="AB2" i="10" s="1"/>
  <c r="H165" i="10"/>
  <c r="H166" i="10"/>
  <c r="H167" i="10"/>
  <c r="H168" i="10"/>
  <c r="H169" i="10"/>
  <c r="H170" i="10"/>
  <c r="H171" i="10"/>
  <c r="H172" i="10"/>
  <c r="H173" i="10"/>
  <c r="H174" i="10"/>
  <c r="H175" i="10"/>
  <c r="H176" i="10"/>
  <c r="H177" i="10"/>
  <c r="D177" i="10"/>
  <c r="E168" i="10"/>
  <c r="E169" i="10"/>
  <c r="E170" i="10"/>
  <c r="E171" i="10"/>
  <c r="E172" i="10"/>
  <c r="E173" i="10"/>
  <c r="E174" i="10"/>
  <c r="E175" i="10"/>
  <c r="E176" i="10"/>
  <c r="E177" i="10"/>
  <c r="D168" i="10"/>
  <c r="D169" i="10"/>
  <c r="D170" i="10"/>
  <c r="D171" i="10"/>
  <c r="D172" i="10"/>
  <c r="D173" i="10"/>
  <c r="D174" i="10"/>
  <c r="D175" i="10"/>
  <c r="D176" i="10"/>
  <c r="G7" i="4"/>
  <c r="G11" i="4"/>
  <c r="F7" i="4"/>
  <c r="F11" i="4"/>
  <c r="AB3" i="10" a="1"/>
  <c r="AB3" i="10" s="1"/>
  <c r="AB4" i="10" a="1"/>
  <c r="AB4" i="10" s="1"/>
  <c r="AB5" i="10" a="1"/>
  <c r="AB5" i="10" s="1"/>
  <c r="AB6" i="10" a="1"/>
  <c r="AB6" i="10" s="1"/>
  <c r="AB7" i="10" a="1"/>
  <c r="AB7" i="10" s="1"/>
  <c r="AB8" i="10" a="1"/>
  <c r="AB8" i="10" s="1"/>
  <c r="AB9" i="10" a="1"/>
  <c r="AB9" i="10" s="1"/>
  <c r="AB10" i="10" a="1"/>
  <c r="AB10" i="10" s="1"/>
  <c r="AB11" i="10" a="1"/>
  <c r="AB11" i="10" s="1"/>
  <c r="AB12" i="10" a="1"/>
  <c r="AB12" i="10" s="1"/>
  <c r="AB13" i="10" a="1"/>
  <c r="AB13" i="10" s="1"/>
  <c r="AB14" i="10" a="1"/>
  <c r="AB14" i="10" s="1"/>
  <c r="AB15" i="10" a="1"/>
  <c r="AB15" i="10" s="1"/>
  <c r="AB16" i="10" a="1"/>
  <c r="AB16" i="10" s="1"/>
  <c r="AB17" i="10" a="1"/>
  <c r="AB17" i="10" s="1"/>
  <c r="AB18" i="10" a="1"/>
  <c r="AB18" i="10" s="1"/>
  <c r="AB19" i="10" a="1"/>
  <c r="AB19" i="10" s="1"/>
  <c r="AB20" i="10" a="1"/>
  <c r="AB20" i="10" s="1"/>
  <c r="AB21" i="10" a="1"/>
  <c r="AB21" i="10" s="1"/>
  <c r="AB22" i="10" a="1"/>
  <c r="AB22" i="10" s="1"/>
  <c r="AB23" i="10" a="1"/>
  <c r="AB23" i="10" s="1"/>
  <c r="AB24" i="10" a="1"/>
  <c r="AB24" i="10" s="1"/>
  <c r="AB25" i="10" a="1"/>
  <c r="AB25" i="10" s="1"/>
  <c r="AB26" i="10" a="1"/>
  <c r="AB26" i="10" s="1"/>
  <c r="AB27" i="10" a="1"/>
  <c r="AB27" i="10" s="1"/>
  <c r="AB28" i="10" a="1"/>
  <c r="AB28" i="10" s="1"/>
  <c r="AB29" i="10" a="1"/>
  <c r="AB29" i="10" s="1"/>
  <c r="AB30" i="10" a="1"/>
  <c r="AB30" i="10" s="1"/>
  <c r="AB31" i="10" a="1"/>
  <c r="AB31" i="10" s="1"/>
  <c r="AB32" i="10" a="1"/>
  <c r="AB32" i="10" s="1"/>
  <c r="AB33" i="10" a="1"/>
  <c r="AB33" i="10" s="1"/>
  <c r="AB34" i="10" a="1"/>
  <c r="AB34" i="10" s="1"/>
  <c r="AB35" i="10" a="1"/>
  <c r="AB35" i="10" s="1"/>
  <c r="AB36" i="10" a="1"/>
  <c r="AB36" i="10" s="1"/>
  <c r="AB37" i="10" a="1"/>
  <c r="AB37" i="10" s="1"/>
  <c r="AB38" i="10" a="1"/>
  <c r="AB38" i="10" s="1"/>
  <c r="AB39" i="10" a="1"/>
  <c r="AB39" i="10" s="1"/>
  <c r="AB40" i="10" a="1"/>
  <c r="AB40" i="10" s="1"/>
  <c r="AB41" i="10" a="1"/>
  <c r="AB41" i="10" s="1"/>
  <c r="AB42" i="10" a="1"/>
  <c r="AB42" i="10" s="1"/>
  <c r="AB43" i="10" a="1"/>
  <c r="AB43" i="10" s="1"/>
  <c r="AB44" i="10" a="1"/>
  <c r="AB44" i="10" s="1"/>
  <c r="AB45" i="10" a="1"/>
  <c r="AB45" i="10" s="1"/>
  <c r="AB46" i="10" a="1"/>
  <c r="AB46" i="10" s="1"/>
  <c r="AB47" i="10" a="1"/>
  <c r="AB47" i="10" s="1"/>
  <c r="AB48" i="10" a="1"/>
  <c r="AB48" i="10" s="1"/>
  <c r="AB49" i="10" a="1"/>
  <c r="AB49" i="10" s="1"/>
  <c r="AB50" i="10" a="1"/>
  <c r="AB50" i="10" s="1"/>
  <c r="AB51" i="10" a="1"/>
  <c r="AB51" i="10" s="1"/>
  <c r="AB52" i="10" a="1"/>
  <c r="AB52" i="10" s="1"/>
  <c r="AB53" i="10" a="1"/>
  <c r="AB53" i="10" s="1"/>
  <c r="AB54" i="10" a="1"/>
  <c r="AB54" i="10" s="1"/>
  <c r="AB55" i="10" a="1"/>
  <c r="AB55" i="10" s="1"/>
  <c r="AB56" i="10" a="1"/>
  <c r="AB56" i="10" s="1"/>
  <c r="AB57" i="10" a="1"/>
  <c r="AB57" i="10" s="1"/>
  <c r="AB58" i="10" a="1"/>
  <c r="AB58" i="10" s="1"/>
  <c r="AB59" i="10" a="1"/>
  <c r="AB59" i="10" s="1"/>
  <c r="AB60" i="10" a="1"/>
  <c r="AB60" i="10" s="1"/>
  <c r="AB61" i="10" a="1"/>
  <c r="AB61" i="10" s="1"/>
  <c r="AB62" i="10" a="1"/>
  <c r="AB62" i="10" s="1"/>
  <c r="AB63" i="10" a="1"/>
  <c r="AB63" i="10" s="1"/>
  <c r="AB64" i="10" a="1"/>
  <c r="AB64" i="10" s="1"/>
  <c r="AB65" i="10" a="1"/>
  <c r="AB65" i="10" s="1"/>
  <c r="AB66" i="10" a="1"/>
  <c r="AB66" i="10" s="1"/>
  <c r="AB67" i="10" a="1"/>
  <c r="AB67" i="10" s="1"/>
  <c r="AB68" i="10" a="1"/>
  <c r="AB68" i="10" s="1"/>
  <c r="AB69" i="10" a="1"/>
  <c r="AB69" i="10" s="1"/>
  <c r="AB70" i="10" a="1"/>
  <c r="AB70" i="10" s="1"/>
  <c r="AB71" i="10" a="1"/>
  <c r="AB71" i="10" s="1"/>
  <c r="AB72" i="10" a="1"/>
  <c r="AB72" i="10" s="1"/>
  <c r="AB73" i="10" a="1"/>
  <c r="AB73" i="10" s="1"/>
  <c r="AB74" i="10" a="1"/>
  <c r="AB74" i="10" s="1"/>
  <c r="AB75" i="10" a="1"/>
  <c r="AB75" i="10" s="1"/>
  <c r="AB76" i="10" a="1"/>
  <c r="AB76" i="10" s="1"/>
  <c r="AB77" i="10" a="1"/>
  <c r="AB77" i="10" s="1"/>
  <c r="AB78" i="10" a="1"/>
  <c r="AB78" i="10" s="1"/>
  <c r="AB79" i="10" a="1"/>
  <c r="AB79" i="10" s="1"/>
  <c r="AB80" i="10" a="1"/>
  <c r="AB80" i="10" s="1"/>
  <c r="AB81" i="10" a="1"/>
  <c r="AB81" i="10" s="1"/>
  <c r="AB82" i="10" a="1"/>
  <c r="AB82" i="10" s="1"/>
  <c r="AB83" i="10" a="1"/>
  <c r="AB83" i="10" s="1"/>
  <c r="AB84" i="10" a="1"/>
  <c r="AB84" i="10" s="1"/>
  <c r="AB85" i="10" a="1"/>
  <c r="AB85" i="10" s="1"/>
  <c r="AB86" i="10" a="1"/>
  <c r="AB86" i="10" s="1"/>
  <c r="AB87" i="10" a="1"/>
  <c r="AB87" i="10" s="1"/>
  <c r="AB88" i="10" a="1"/>
  <c r="AB88" i="10" s="1"/>
  <c r="AB89" i="10" a="1"/>
  <c r="AB89" i="10" s="1"/>
  <c r="AB90" i="10" a="1"/>
  <c r="AB90" i="10" s="1"/>
  <c r="AB91" i="10" a="1"/>
  <c r="AB91" i="10" s="1"/>
  <c r="AB92" i="10" a="1"/>
  <c r="AB92" i="10" s="1"/>
  <c r="AB93" i="10" a="1"/>
  <c r="AB93" i="10" s="1"/>
  <c r="AB94" i="10" a="1"/>
  <c r="AB94" i="10" s="1"/>
  <c r="AB95" i="10" a="1"/>
  <c r="AB95" i="10" s="1"/>
  <c r="AB96" i="10" a="1"/>
  <c r="AB96" i="10" s="1"/>
  <c r="AB97" i="10" a="1"/>
  <c r="AB97" i="10" s="1"/>
  <c r="AB98" i="10" a="1"/>
  <c r="AB98" i="10" s="1"/>
  <c r="AB99" i="10" a="1"/>
  <c r="AB99" i="10" s="1"/>
  <c r="AB100" i="10" a="1"/>
  <c r="AB100" i="10" s="1"/>
  <c r="AB101" i="10" a="1"/>
  <c r="AB101" i="10" s="1"/>
  <c r="AB102" i="10" a="1"/>
  <c r="AB102" i="10" s="1"/>
  <c r="AB103" i="10" a="1"/>
  <c r="AB103" i="10" s="1"/>
  <c r="AB104" i="10" a="1"/>
  <c r="AB104" i="10" s="1"/>
  <c r="AB105" i="10" a="1"/>
  <c r="AB105" i="10" s="1"/>
  <c r="AB106" i="10" a="1"/>
  <c r="AB106" i="10" s="1"/>
  <c r="AB107" i="10" a="1"/>
  <c r="AB107" i="10" s="1"/>
  <c r="AB108" i="10" a="1"/>
  <c r="AB108" i="10" s="1"/>
  <c r="AB109" i="10" a="1"/>
  <c r="AB109" i="10" s="1"/>
  <c r="AB110" i="10" a="1"/>
  <c r="AB110" i="10" s="1"/>
  <c r="AB111" i="10" a="1"/>
  <c r="AB111" i="10" s="1"/>
  <c r="AB112" i="10" a="1"/>
  <c r="AB112" i="10" s="1"/>
  <c r="AB113" i="10" a="1"/>
  <c r="AB113" i="10" s="1"/>
  <c r="AB114" i="10" a="1"/>
  <c r="AB114" i="10" s="1"/>
  <c r="AB115" i="10" a="1"/>
  <c r="AB115" i="10" s="1"/>
  <c r="AB116" i="10" a="1"/>
  <c r="AB116" i="10" s="1"/>
  <c r="AB117" i="10" a="1"/>
  <c r="AB117" i="10" s="1"/>
  <c r="AB118" i="10" a="1"/>
  <c r="AB118" i="10" s="1"/>
  <c r="AB119" i="10" a="1"/>
  <c r="AB119" i="10" s="1"/>
  <c r="AB120" i="10" a="1"/>
  <c r="AB120" i="10" s="1"/>
  <c r="AB121" i="10" a="1"/>
  <c r="AB121" i="10" s="1"/>
  <c r="AB122" i="10" a="1"/>
  <c r="AB122" i="10" s="1"/>
  <c r="AB123" i="10" a="1"/>
  <c r="AB123" i="10" s="1"/>
  <c r="AB124" i="10" a="1"/>
  <c r="AB124" i="10" s="1"/>
  <c r="AB125" i="10" a="1"/>
  <c r="AB125" i="10" s="1"/>
  <c r="AB126" i="10" a="1"/>
  <c r="AB126" i="10" s="1"/>
  <c r="AB127" i="10" a="1"/>
  <c r="AB127" i="10" s="1"/>
  <c r="AB128" i="10" a="1"/>
  <c r="AB128" i="10" s="1"/>
  <c r="AB129" i="10" a="1"/>
  <c r="AB129" i="10" s="1"/>
  <c r="AB130" i="10" a="1"/>
  <c r="AB130" i="10" s="1"/>
  <c r="AB131" i="10" a="1"/>
  <c r="AB131" i="10" s="1"/>
  <c r="AB132" i="10" a="1"/>
  <c r="AB132" i="10" s="1"/>
  <c r="AB133" i="10" a="1"/>
  <c r="AB133" i="10" s="1"/>
  <c r="AB134" i="10" a="1"/>
  <c r="AB134" i="10" s="1"/>
  <c r="AB135" i="10" a="1"/>
  <c r="AB135" i="10" s="1"/>
  <c r="AB136" i="10" a="1"/>
  <c r="AB136" i="10" s="1"/>
  <c r="AB137" i="10" a="1"/>
  <c r="AB137" i="10" s="1"/>
  <c r="AB138" i="10" a="1"/>
  <c r="AB138" i="10" s="1"/>
  <c r="AB139" i="10" a="1"/>
  <c r="AB139" i="10" s="1"/>
  <c r="AB140" i="10" a="1"/>
  <c r="AB140" i="10" s="1"/>
  <c r="AB141" i="10" a="1"/>
  <c r="AB141" i="10" s="1"/>
  <c r="AB142" i="10" a="1"/>
  <c r="AB142" i="10" s="1"/>
  <c r="AA3" i="10" a="1"/>
  <c r="AA3" i="10" s="1"/>
  <c r="AA4" i="10" a="1"/>
  <c r="AA4" i="10" s="1"/>
  <c r="AA5" i="10" a="1"/>
  <c r="AA5" i="10" s="1"/>
  <c r="AA6" i="10" a="1"/>
  <c r="AA6" i="10" s="1"/>
  <c r="AA7" i="10" a="1"/>
  <c r="AA7" i="10" s="1"/>
  <c r="AA8" i="10" a="1"/>
  <c r="AA8" i="10" s="1"/>
  <c r="AA9" i="10" a="1"/>
  <c r="AA9" i="10" s="1"/>
  <c r="AA10" i="10" a="1"/>
  <c r="AA10" i="10" s="1"/>
  <c r="AA11" i="10" a="1"/>
  <c r="AA11" i="10" s="1"/>
  <c r="AA12" i="10" a="1"/>
  <c r="AA12" i="10" s="1"/>
  <c r="AA13" i="10" a="1"/>
  <c r="AA13" i="10" s="1"/>
  <c r="AA14" i="10" a="1"/>
  <c r="AA14" i="10" s="1"/>
  <c r="AA15" i="10" a="1"/>
  <c r="AA15" i="10" s="1"/>
  <c r="AA16" i="10" a="1"/>
  <c r="AA16" i="10" s="1"/>
  <c r="AA17" i="10" a="1"/>
  <c r="AA17" i="10" s="1"/>
  <c r="AA18" i="10" a="1"/>
  <c r="AA18" i="10" s="1"/>
  <c r="AA19" i="10" a="1"/>
  <c r="AA19" i="10" s="1"/>
  <c r="AA20" i="10" a="1"/>
  <c r="AA20" i="10" s="1"/>
  <c r="AA21" i="10" a="1"/>
  <c r="AA21" i="10" s="1"/>
  <c r="AA22" i="10" a="1"/>
  <c r="AA22" i="10" s="1"/>
  <c r="AA23" i="10" a="1"/>
  <c r="AA23" i="10" s="1"/>
  <c r="AA24" i="10" a="1"/>
  <c r="AA24" i="10" s="1"/>
  <c r="AA25" i="10" a="1"/>
  <c r="AA25" i="10" s="1"/>
  <c r="AA26" i="10" a="1"/>
  <c r="AA26" i="10" s="1"/>
  <c r="AA27" i="10" a="1"/>
  <c r="AA27" i="10" s="1"/>
  <c r="AA28" i="10" a="1"/>
  <c r="AA28" i="10" s="1"/>
  <c r="AA29" i="10" a="1"/>
  <c r="AA29" i="10" s="1"/>
  <c r="AA30" i="10" a="1"/>
  <c r="AA30" i="10" s="1"/>
  <c r="AA31" i="10" a="1"/>
  <c r="AA31" i="10" s="1"/>
  <c r="AA32" i="10" a="1"/>
  <c r="AA32" i="10" s="1"/>
  <c r="AA33" i="10" a="1"/>
  <c r="AA33" i="10" s="1"/>
  <c r="AA34" i="10" a="1"/>
  <c r="AA34" i="10" s="1"/>
  <c r="AA35" i="10" a="1"/>
  <c r="AA35" i="10" s="1"/>
  <c r="AA36" i="10" a="1"/>
  <c r="AA36" i="10" s="1"/>
  <c r="AA37" i="10" a="1"/>
  <c r="AA37" i="10" s="1"/>
  <c r="AA38" i="10" a="1"/>
  <c r="AA38" i="10" s="1"/>
  <c r="AA39" i="10" a="1"/>
  <c r="AA39" i="10" s="1"/>
  <c r="AA40" i="10" a="1"/>
  <c r="AA40" i="10" s="1"/>
  <c r="AA41" i="10" a="1"/>
  <c r="AA41" i="10" s="1"/>
  <c r="AA42" i="10" a="1"/>
  <c r="AA42" i="10" s="1"/>
  <c r="AA43" i="10" a="1"/>
  <c r="AA43" i="10" s="1"/>
  <c r="AA44" i="10" a="1"/>
  <c r="AA44" i="10" s="1"/>
  <c r="AA45" i="10" a="1"/>
  <c r="AA45" i="10" s="1"/>
  <c r="AA46" i="10" a="1"/>
  <c r="AA46" i="10" s="1"/>
  <c r="AA47" i="10" a="1"/>
  <c r="AA47" i="10" s="1"/>
  <c r="AA48" i="10" a="1"/>
  <c r="AA48" i="10" s="1"/>
  <c r="AA49" i="10" a="1"/>
  <c r="AA49" i="10" s="1"/>
  <c r="AA50" i="10" a="1"/>
  <c r="AA50" i="10" s="1"/>
  <c r="AA51" i="10" a="1"/>
  <c r="AA51" i="10" s="1"/>
  <c r="AA52" i="10" a="1"/>
  <c r="AA52" i="10" s="1"/>
  <c r="AA53" i="10" a="1"/>
  <c r="AA53" i="10" s="1"/>
  <c r="AA54" i="10" a="1"/>
  <c r="AA54" i="10" s="1"/>
  <c r="AA55" i="10" a="1"/>
  <c r="AA55" i="10" s="1"/>
  <c r="AA56" i="10" a="1"/>
  <c r="AA56" i="10" s="1"/>
  <c r="AA57" i="10" a="1"/>
  <c r="AA57" i="10" s="1"/>
  <c r="AA58" i="10" a="1"/>
  <c r="AA58" i="10" s="1"/>
  <c r="AA59" i="10" a="1"/>
  <c r="AA59" i="10" s="1"/>
  <c r="AA60" i="10" a="1"/>
  <c r="AA60" i="10" s="1"/>
  <c r="AA61" i="10" a="1"/>
  <c r="AA61" i="10" s="1"/>
  <c r="AA62" i="10" a="1"/>
  <c r="AA62" i="10" s="1"/>
  <c r="AA63" i="10" a="1"/>
  <c r="AA63" i="10" s="1"/>
  <c r="AA64" i="10" a="1"/>
  <c r="AA64" i="10" s="1"/>
  <c r="AA65" i="10" a="1"/>
  <c r="AA65" i="10" s="1"/>
  <c r="AA66" i="10" a="1"/>
  <c r="AA66" i="10" s="1"/>
  <c r="AA67" i="10" a="1"/>
  <c r="AA67" i="10" s="1"/>
  <c r="AA68" i="10" a="1"/>
  <c r="AA68" i="10" s="1"/>
  <c r="AA69" i="10" a="1"/>
  <c r="AA69" i="10" s="1"/>
  <c r="AA70" i="10" a="1"/>
  <c r="AA70" i="10" s="1"/>
  <c r="AA71" i="10" a="1"/>
  <c r="AA71" i="10" s="1"/>
  <c r="AA72" i="10" a="1"/>
  <c r="AA72" i="10" s="1"/>
  <c r="AA73" i="10" a="1"/>
  <c r="AA73" i="10" s="1"/>
  <c r="AA74" i="10" a="1"/>
  <c r="AA74" i="10" s="1"/>
  <c r="AA75" i="10" a="1"/>
  <c r="AA75" i="10" s="1"/>
  <c r="AA76" i="10" a="1"/>
  <c r="AA76" i="10" s="1"/>
  <c r="AA77" i="10" a="1"/>
  <c r="AA77" i="10" s="1"/>
  <c r="AA78" i="10" a="1"/>
  <c r="AA78" i="10" s="1"/>
  <c r="AA79" i="10" a="1"/>
  <c r="AA79" i="10" s="1"/>
  <c r="AA80" i="10" a="1"/>
  <c r="AA80" i="10" s="1"/>
  <c r="AA81" i="10" a="1"/>
  <c r="AA81" i="10" s="1"/>
  <c r="AA82" i="10" a="1"/>
  <c r="AA82" i="10" s="1"/>
  <c r="AA83" i="10" a="1"/>
  <c r="AA83" i="10" s="1"/>
  <c r="AA84" i="10" a="1"/>
  <c r="AA84" i="10" s="1"/>
  <c r="AA85" i="10" a="1"/>
  <c r="AA85" i="10" s="1"/>
  <c r="AA86" i="10" a="1"/>
  <c r="AA86" i="10" s="1"/>
  <c r="AA87" i="10" a="1"/>
  <c r="AA87" i="10" s="1"/>
  <c r="AA88" i="10" a="1"/>
  <c r="AA88" i="10" s="1"/>
  <c r="AA89" i="10" a="1"/>
  <c r="AA89" i="10" s="1"/>
  <c r="AA90" i="10" a="1"/>
  <c r="AA90" i="10" s="1"/>
  <c r="AA91" i="10" a="1"/>
  <c r="AA91" i="10" s="1"/>
  <c r="AA92" i="10" a="1"/>
  <c r="AA92" i="10" s="1"/>
  <c r="AA93" i="10" a="1"/>
  <c r="AA93" i="10" s="1"/>
  <c r="AA94" i="10" a="1"/>
  <c r="AA94" i="10" s="1"/>
  <c r="AA95" i="10" a="1"/>
  <c r="AA95" i="10" s="1"/>
  <c r="AA96" i="10" a="1"/>
  <c r="AA96" i="10" s="1"/>
  <c r="AA97" i="10" a="1"/>
  <c r="AA97" i="10" s="1"/>
  <c r="AA98" i="10" a="1"/>
  <c r="AA98" i="10" s="1"/>
  <c r="AA99" i="10" a="1"/>
  <c r="AA99" i="10" s="1"/>
  <c r="AA100" i="10" a="1"/>
  <c r="AA100" i="10" s="1"/>
  <c r="AA101" i="10" a="1"/>
  <c r="AA101" i="10" s="1"/>
  <c r="AA102" i="10" a="1"/>
  <c r="AA102" i="10" s="1"/>
  <c r="AA103" i="10" a="1"/>
  <c r="AA103" i="10" s="1"/>
  <c r="AA104" i="10" a="1"/>
  <c r="AA104" i="10" s="1"/>
  <c r="AA105" i="10" a="1"/>
  <c r="AA105" i="10" s="1"/>
  <c r="AA106" i="10" a="1"/>
  <c r="AA106" i="10" s="1"/>
  <c r="AA107" i="10" a="1"/>
  <c r="AA107" i="10" s="1"/>
  <c r="AA108" i="10" a="1"/>
  <c r="AA108" i="10" s="1"/>
  <c r="AA109" i="10" a="1"/>
  <c r="AA109" i="10" s="1"/>
  <c r="AA110" i="10" a="1"/>
  <c r="AA110" i="10" s="1"/>
  <c r="AA111" i="10" a="1"/>
  <c r="AA111" i="10" s="1"/>
  <c r="AA112" i="10" a="1"/>
  <c r="AA112" i="10" s="1"/>
  <c r="AA113" i="10" a="1"/>
  <c r="AA113" i="10" s="1"/>
  <c r="AA114" i="10" a="1"/>
  <c r="AA114" i="10" s="1"/>
  <c r="AA115" i="10" a="1"/>
  <c r="AA115" i="10" s="1"/>
  <c r="AA116" i="10" a="1"/>
  <c r="AA116" i="10" s="1"/>
  <c r="AA117" i="10" a="1"/>
  <c r="AA117" i="10" s="1"/>
  <c r="AA118" i="10" a="1"/>
  <c r="AA118" i="10" s="1"/>
  <c r="AA119" i="10" a="1"/>
  <c r="AA119" i="10" s="1"/>
  <c r="AA120" i="10" a="1"/>
  <c r="AA120" i="10" s="1"/>
  <c r="AA121" i="10" a="1"/>
  <c r="AA121" i="10" s="1"/>
  <c r="AA122" i="10" a="1"/>
  <c r="AA122" i="10" s="1"/>
  <c r="AA123" i="10" a="1"/>
  <c r="AA123" i="10" s="1"/>
  <c r="AA124" i="10" a="1"/>
  <c r="AA124" i="10" s="1"/>
  <c r="AA125" i="10" a="1"/>
  <c r="AA125" i="10" s="1"/>
  <c r="AA126" i="10" a="1"/>
  <c r="AA126" i="10" s="1"/>
  <c r="X30" i="21" s="1"/>
  <c r="AA127" i="10" a="1"/>
  <c r="AA127" i="10" s="1"/>
  <c r="AA128" i="10" a="1"/>
  <c r="AA128" i="10" s="1"/>
  <c r="AA129" i="10" a="1"/>
  <c r="AA129" i="10" s="1"/>
  <c r="AA130" i="10" a="1"/>
  <c r="AA130" i="10" s="1"/>
  <c r="AA131" i="10" a="1"/>
  <c r="AA131" i="10" s="1"/>
  <c r="AA132" i="10" a="1"/>
  <c r="AA132" i="10" s="1"/>
  <c r="AA133" i="10" a="1"/>
  <c r="AA133" i="10" s="1"/>
  <c r="AA134" i="10" a="1"/>
  <c r="AA134" i="10" s="1"/>
  <c r="X22" i="21" s="1"/>
  <c r="AA135" i="10" a="1"/>
  <c r="AA135" i="10" s="1"/>
  <c r="AA136" i="10" a="1"/>
  <c r="AA136" i="10" s="1"/>
  <c r="AA137" i="10" a="1"/>
  <c r="AA137" i="10" s="1"/>
  <c r="AA138" i="10" a="1"/>
  <c r="AA138" i="10" s="1"/>
  <c r="AA139" i="10" a="1"/>
  <c r="AA139" i="10" s="1"/>
  <c r="AA140" i="10" a="1"/>
  <c r="AA140" i="10" s="1"/>
  <c r="AA141" i="10" a="1"/>
  <c r="AA141" i="10" s="1"/>
  <c r="AA142" i="10" a="1"/>
  <c r="AA142" i="10" s="1"/>
  <c r="AA143" i="10" a="1"/>
  <c r="AA143" i="10" s="1"/>
  <c r="AA144" i="10" a="1"/>
  <c r="AA144" i="10" s="1"/>
  <c r="AA145" i="10" a="1"/>
  <c r="AA145" i="10" s="1"/>
  <c r="AA146" i="10" a="1"/>
  <c r="AA146" i="10" s="1"/>
  <c r="AA147" i="10" a="1"/>
  <c r="AA147" i="10" s="1"/>
  <c r="AA148" i="10" a="1"/>
  <c r="AA148" i="10" s="1"/>
  <c r="AA149" i="10" a="1"/>
  <c r="AA149" i="10" s="1"/>
  <c r="AA2" i="10" a="1"/>
  <c r="AA2" i="10" s="1"/>
  <c r="Y2" i="10" a="1"/>
  <c r="Y2" i="10" s="1"/>
  <c r="Z3" i="10" a="1"/>
  <c r="Z3" i="10" s="1"/>
  <c r="Z4" i="10" a="1"/>
  <c r="Z4" i="10" s="1"/>
  <c r="Z5" i="10" a="1"/>
  <c r="Z5" i="10" s="1"/>
  <c r="Z6" i="10" a="1"/>
  <c r="Z6" i="10" s="1"/>
  <c r="Z7" i="10" a="1"/>
  <c r="Z7" i="10" s="1"/>
  <c r="Z8" i="10" a="1"/>
  <c r="Z8" i="10" s="1"/>
  <c r="Z9" i="10" a="1"/>
  <c r="Z9" i="10" s="1"/>
  <c r="Z10" i="10" a="1"/>
  <c r="Z10" i="10" s="1"/>
  <c r="Z11" i="10" a="1"/>
  <c r="Z11" i="10" s="1"/>
  <c r="Z12" i="10" a="1"/>
  <c r="Z12" i="10" s="1"/>
  <c r="Z13" i="10" a="1"/>
  <c r="Z13" i="10" s="1"/>
  <c r="Z14" i="10" a="1"/>
  <c r="Z14" i="10" s="1"/>
  <c r="Z15" i="10" a="1"/>
  <c r="Z15" i="10" s="1"/>
  <c r="Z16" i="10" a="1"/>
  <c r="Z16" i="10" s="1"/>
  <c r="Z17" i="10" a="1"/>
  <c r="Z17" i="10" s="1"/>
  <c r="Z18" i="10" a="1"/>
  <c r="Z18" i="10" s="1"/>
  <c r="Z19" i="10" a="1"/>
  <c r="Z19" i="10" s="1"/>
  <c r="Z20" i="10" a="1"/>
  <c r="Z20" i="10" s="1"/>
  <c r="Z21" i="10" a="1"/>
  <c r="Z21" i="10" s="1"/>
  <c r="Z22" i="10" a="1"/>
  <c r="Z22" i="10" s="1"/>
  <c r="Z23" i="10" a="1"/>
  <c r="Z23" i="10" s="1"/>
  <c r="Z24" i="10" a="1"/>
  <c r="Z24" i="10" s="1"/>
  <c r="Z25" i="10" a="1"/>
  <c r="Z25" i="10" s="1"/>
  <c r="Z26" i="10" a="1"/>
  <c r="Z26" i="10" s="1"/>
  <c r="Z27" i="10" a="1"/>
  <c r="Z27" i="10" s="1"/>
  <c r="Z28" i="10" a="1"/>
  <c r="Z28" i="10" s="1"/>
  <c r="Z29" i="10" a="1"/>
  <c r="Z29" i="10" s="1"/>
  <c r="Z30" i="10" a="1"/>
  <c r="Z30" i="10" s="1"/>
  <c r="Z31" i="10" a="1"/>
  <c r="Z31" i="10" s="1"/>
  <c r="Z32" i="10" a="1"/>
  <c r="Z32" i="10" s="1"/>
  <c r="Z33" i="10" a="1"/>
  <c r="Z33" i="10" s="1"/>
  <c r="Z34" i="10" a="1"/>
  <c r="Z34" i="10" s="1"/>
  <c r="Z35" i="10" a="1"/>
  <c r="Z35" i="10" s="1"/>
  <c r="Z36" i="10" a="1"/>
  <c r="Z36" i="10" s="1"/>
  <c r="Z37" i="10" a="1"/>
  <c r="Z37" i="10" s="1"/>
  <c r="Z38" i="10" a="1"/>
  <c r="Z38" i="10" s="1"/>
  <c r="Z39" i="10" a="1"/>
  <c r="Z39" i="10" s="1"/>
  <c r="Z40" i="10" a="1"/>
  <c r="Z40" i="10" s="1"/>
  <c r="Z41" i="10" a="1"/>
  <c r="Z41" i="10" s="1"/>
  <c r="Z42" i="10" a="1"/>
  <c r="Z42" i="10" s="1"/>
  <c r="Z43" i="10" a="1"/>
  <c r="Z43" i="10" s="1"/>
  <c r="Z44" i="10" a="1"/>
  <c r="Z44" i="10" s="1"/>
  <c r="Z45" i="10" a="1"/>
  <c r="Z45" i="10" s="1"/>
  <c r="Z46" i="10" a="1"/>
  <c r="Z46" i="10" s="1"/>
  <c r="Z47" i="10" a="1"/>
  <c r="Z47" i="10" s="1"/>
  <c r="Z48" i="10" a="1"/>
  <c r="Z48" i="10" s="1"/>
  <c r="Z49" i="10" a="1"/>
  <c r="Z49" i="10" s="1"/>
  <c r="Z50" i="10" a="1"/>
  <c r="Z50" i="10" s="1"/>
  <c r="Z51" i="10" a="1"/>
  <c r="Z51" i="10" s="1"/>
  <c r="Z52" i="10" a="1"/>
  <c r="Z52" i="10" s="1"/>
  <c r="Z53" i="10" a="1"/>
  <c r="Z53" i="10" s="1"/>
  <c r="Z54" i="10" a="1"/>
  <c r="Z54" i="10" s="1"/>
  <c r="Z55" i="10" a="1"/>
  <c r="Z55" i="10" s="1"/>
  <c r="Z56" i="10" a="1"/>
  <c r="Z56" i="10" s="1"/>
  <c r="Z57" i="10" a="1"/>
  <c r="Z57" i="10" s="1"/>
  <c r="Z58" i="10" a="1"/>
  <c r="Z58" i="10" s="1"/>
  <c r="Z59" i="10" a="1"/>
  <c r="Z59" i="10" s="1"/>
  <c r="Z60" i="10" a="1"/>
  <c r="Z60" i="10" s="1"/>
  <c r="Z61" i="10" a="1"/>
  <c r="Z61" i="10" s="1"/>
  <c r="Z62" i="10" a="1"/>
  <c r="Z62" i="10" s="1"/>
  <c r="Z63" i="10" a="1"/>
  <c r="Z63" i="10" s="1"/>
  <c r="Z64" i="10" a="1"/>
  <c r="Z64" i="10" s="1"/>
  <c r="Z65" i="10" a="1"/>
  <c r="Z65" i="10" s="1"/>
  <c r="Z66" i="10" a="1"/>
  <c r="Z66" i="10" s="1"/>
  <c r="Z67" i="10" a="1"/>
  <c r="Z67" i="10" s="1"/>
  <c r="Z68" i="10" a="1"/>
  <c r="Z68" i="10" s="1"/>
  <c r="Z69" i="10" a="1"/>
  <c r="Z69" i="10" s="1"/>
  <c r="Z70" i="10" a="1"/>
  <c r="Z70" i="10" s="1"/>
  <c r="Z71" i="10" a="1"/>
  <c r="Z71" i="10" s="1"/>
  <c r="Z72" i="10" a="1"/>
  <c r="Z72" i="10" s="1"/>
  <c r="Z73" i="10" a="1"/>
  <c r="Z73" i="10" s="1"/>
  <c r="Z74" i="10" a="1"/>
  <c r="Z74" i="10" s="1"/>
  <c r="Z75" i="10" a="1"/>
  <c r="Z75" i="10" s="1"/>
  <c r="Z76" i="10" a="1"/>
  <c r="Z76" i="10" s="1"/>
  <c r="Z77" i="10" a="1"/>
  <c r="Z77" i="10" s="1"/>
  <c r="Z78" i="10" a="1"/>
  <c r="Z78" i="10" s="1"/>
  <c r="Z79" i="10" a="1"/>
  <c r="Z79" i="10" s="1"/>
  <c r="Z80" i="10" a="1"/>
  <c r="Z80" i="10" s="1"/>
  <c r="Z81" i="10" a="1"/>
  <c r="Z81" i="10" s="1"/>
  <c r="Z82" i="10" a="1"/>
  <c r="Z82" i="10" s="1"/>
  <c r="Z83" i="10" a="1"/>
  <c r="Z83" i="10" s="1"/>
  <c r="Z84" i="10" a="1"/>
  <c r="Z84" i="10" s="1"/>
  <c r="Z85" i="10" a="1"/>
  <c r="Z85" i="10" s="1"/>
  <c r="Z86" i="10" a="1"/>
  <c r="Z86" i="10" s="1"/>
  <c r="Z87" i="10" a="1"/>
  <c r="Z87" i="10" s="1"/>
  <c r="Z88" i="10" a="1"/>
  <c r="Z88" i="10" s="1"/>
  <c r="Z89" i="10" a="1"/>
  <c r="Z89" i="10" s="1"/>
  <c r="Z90" i="10" a="1"/>
  <c r="Z90" i="10" s="1"/>
  <c r="Z91" i="10" a="1"/>
  <c r="Z91" i="10" s="1"/>
  <c r="Z92" i="10" a="1"/>
  <c r="Z92" i="10" s="1"/>
  <c r="Z93" i="10" a="1"/>
  <c r="Z93" i="10" s="1"/>
  <c r="Z94" i="10" a="1"/>
  <c r="Z94" i="10" s="1"/>
  <c r="Z95" i="10" a="1"/>
  <c r="Z95" i="10" s="1"/>
  <c r="Z96" i="10" a="1"/>
  <c r="Z96" i="10" s="1"/>
  <c r="Z97" i="10" a="1"/>
  <c r="Z97" i="10" s="1"/>
  <c r="Z98" i="10" a="1"/>
  <c r="Z98" i="10" s="1"/>
  <c r="Z99" i="10" a="1"/>
  <c r="Z99" i="10" s="1"/>
  <c r="Z100" i="10" a="1"/>
  <c r="Z100" i="10" s="1"/>
  <c r="Z101" i="10" a="1"/>
  <c r="Z101" i="10" s="1"/>
  <c r="Z102" i="10" a="1"/>
  <c r="Z102" i="10" s="1"/>
  <c r="Z103" i="10" a="1"/>
  <c r="Z103" i="10" s="1"/>
  <c r="Z104" i="10" a="1"/>
  <c r="Z104" i="10" s="1"/>
  <c r="Z105" i="10" a="1"/>
  <c r="Z105" i="10" s="1"/>
  <c r="Z106" i="10" a="1"/>
  <c r="Z106" i="10" s="1"/>
  <c r="Z107" i="10" a="1"/>
  <c r="Z107" i="10" s="1"/>
  <c r="Z108" i="10" a="1"/>
  <c r="Z108" i="10" s="1"/>
  <c r="Z109" i="10" a="1"/>
  <c r="Z109" i="10" s="1"/>
  <c r="Z110" i="10" a="1"/>
  <c r="Z110" i="10" s="1"/>
  <c r="Z111" i="10" a="1"/>
  <c r="Z111" i="10" s="1"/>
  <c r="Z112" i="10" a="1"/>
  <c r="Z112" i="10" s="1"/>
  <c r="Z113" i="10" a="1"/>
  <c r="Z113" i="10" s="1"/>
  <c r="Z114" i="10" a="1"/>
  <c r="Z114" i="10" s="1"/>
  <c r="Z115" i="10" a="1"/>
  <c r="Z115" i="10" s="1"/>
  <c r="Z116" i="10" a="1"/>
  <c r="Z116" i="10" s="1"/>
  <c r="Z117" i="10" a="1"/>
  <c r="Z117" i="10" s="1"/>
  <c r="Z118" i="10" a="1"/>
  <c r="Z118" i="10" s="1"/>
  <c r="Z119" i="10" a="1"/>
  <c r="Z119" i="10" s="1"/>
  <c r="Z120" i="10" a="1"/>
  <c r="Z120" i="10" s="1"/>
  <c r="Z121" i="10" a="1"/>
  <c r="Z121" i="10" s="1"/>
  <c r="Z122" i="10" a="1"/>
  <c r="Z122" i="10" s="1"/>
  <c r="Z123" i="10" a="1"/>
  <c r="Z123" i="10" s="1"/>
  <c r="Z124" i="10" a="1"/>
  <c r="Z124" i="10" s="1"/>
  <c r="Z125" i="10" a="1"/>
  <c r="Z125" i="10" s="1"/>
  <c r="Z126" i="10" a="1"/>
  <c r="Z126" i="10" s="1"/>
  <c r="Z127" i="10" a="1"/>
  <c r="Z127" i="10" s="1"/>
  <c r="Z128" i="10" a="1"/>
  <c r="Z128" i="10" s="1"/>
  <c r="Z129" i="10" a="1"/>
  <c r="Z129" i="10" s="1"/>
  <c r="Z130" i="10" a="1"/>
  <c r="Z130" i="10" s="1"/>
  <c r="Z131" i="10" a="1"/>
  <c r="Z131" i="10" s="1"/>
  <c r="Z132" i="10" a="1"/>
  <c r="Z132" i="10" s="1"/>
  <c r="Z133" i="10" a="1"/>
  <c r="Z133" i="10" s="1"/>
  <c r="Z134" i="10" a="1"/>
  <c r="Z134" i="10" s="1"/>
  <c r="Z135" i="10" a="1"/>
  <c r="Z135" i="10" s="1"/>
  <c r="Z136" i="10" a="1"/>
  <c r="Z136" i="10" s="1"/>
  <c r="Z137" i="10" a="1"/>
  <c r="Z137" i="10" s="1"/>
  <c r="Z138" i="10" a="1"/>
  <c r="Z138" i="10" s="1"/>
  <c r="Z139" i="10" a="1"/>
  <c r="Z139" i="10" s="1"/>
  <c r="Z140" i="10" a="1"/>
  <c r="Z140" i="10" s="1"/>
  <c r="Z141" i="10" a="1"/>
  <c r="Z141" i="10" s="1"/>
  <c r="Z142" i="10" a="1"/>
  <c r="Z142" i="10" s="1"/>
  <c r="Z143" i="10" a="1"/>
  <c r="Z143" i="10" s="1"/>
  <c r="Z144" i="10" a="1"/>
  <c r="Z144" i="10" s="1"/>
  <c r="Z145" i="10" a="1"/>
  <c r="Z145" i="10" s="1"/>
  <c r="Z146" i="10" a="1"/>
  <c r="Z146" i="10" s="1"/>
  <c r="Z147" i="10" a="1"/>
  <c r="Z147" i="10" s="1"/>
  <c r="Z148" i="10" a="1"/>
  <c r="Z148" i="10" s="1"/>
  <c r="Z149" i="10" a="1"/>
  <c r="Z149" i="10" s="1"/>
  <c r="Z2" i="10" a="1"/>
  <c r="Z2" i="10" s="1"/>
  <c r="Y3" i="10" a="1"/>
  <c r="Y3" i="10" s="1"/>
  <c r="Y4" i="10" a="1"/>
  <c r="Y4" i="10" s="1"/>
  <c r="Y5" i="10" a="1"/>
  <c r="Y5" i="10" s="1"/>
  <c r="Y6" i="10" a="1"/>
  <c r="Y6" i="10" s="1"/>
  <c r="Y7" i="10" a="1"/>
  <c r="Y7" i="10" s="1"/>
  <c r="Y8" i="10" a="1"/>
  <c r="Y8" i="10" s="1"/>
  <c r="Y9" i="10" a="1"/>
  <c r="Y9" i="10" s="1"/>
  <c r="Y10" i="10" a="1"/>
  <c r="Y10" i="10" s="1"/>
  <c r="Y11" i="10" a="1"/>
  <c r="Y11" i="10" s="1"/>
  <c r="Y12" i="10" a="1"/>
  <c r="Y12" i="10" s="1"/>
  <c r="Y13" i="10" a="1"/>
  <c r="Y13" i="10" s="1"/>
  <c r="Y14" i="10" a="1"/>
  <c r="Y14" i="10" s="1"/>
  <c r="Y15" i="10" a="1"/>
  <c r="Y15" i="10" s="1"/>
  <c r="Y16" i="10" a="1"/>
  <c r="Y16" i="10" s="1"/>
  <c r="Y17" i="10" a="1"/>
  <c r="Y17" i="10" s="1"/>
  <c r="Y18" i="10" a="1"/>
  <c r="Y18" i="10" s="1"/>
  <c r="Y19" i="10" a="1"/>
  <c r="Y19" i="10" s="1"/>
  <c r="Y20" i="10" a="1"/>
  <c r="Y20" i="10" s="1"/>
  <c r="Y21" i="10" a="1"/>
  <c r="Y21" i="10" s="1"/>
  <c r="Y22" i="10" a="1"/>
  <c r="Y22" i="10" s="1"/>
  <c r="Y23" i="10" a="1"/>
  <c r="Y23" i="10" s="1"/>
  <c r="Y24" i="10" a="1"/>
  <c r="Y24" i="10" s="1"/>
  <c r="Y25" i="10" a="1"/>
  <c r="Y25" i="10" s="1"/>
  <c r="Y26" i="10" a="1"/>
  <c r="Y26" i="10" s="1"/>
  <c r="Y27" i="10" a="1"/>
  <c r="Y27" i="10" s="1"/>
  <c r="Y28" i="10" a="1"/>
  <c r="Y28" i="10" s="1"/>
  <c r="Y29" i="10" a="1"/>
  <c r="Y29" i="10" s="1"/>
  <c r="Y30" i="10" a="1"/>
  <c r="Y30" i="10" s="1"/>
  <c r="Y31" i="10" a="1"/>
  <c r="Y31" i="10" s="1"/>
  <c r="Y32" i="10" a="1"/>
  <c r="Y32" i="10" s="1"/>
  <c r="Y33" i="10" a="1"/>
  <c r="Y33" i="10" s="1"/>
  <c r="Y34" i="10" a="1"/>
  <c r="Y34" i="10" s="1"/>
  <c r="Y35" i="10" a="1"/>
  <c r="Y35" i="10" s="1"/>
  <c r="Y36" i="10" a="1"/>
  <c r="Y36" i="10" s="1"/>
  <c r="Y37" i="10" a="1"/>
  <c r="Y37" i="10" s="1"/>
  <c r="Y38" i="10" a="1"/>
  <c r="Y38" i="10" s="1"/>
  <c r="Y39" i="10" a="1"/>
  <c r="Y39" i="10" s="1"/>
  <c r="Y40" i="10" a="1"/>
  <c r="Y40" i="10" s="1"/>
  <c r="Y41" i="10" a="1"/>
  <c r="Y41" i="10" s="1"/>
  <c r="Y42" i="10" a="1"/>
  <c r="Y42" i="10" s="1"/>
  <c r="Y43" i="10" a="1"/>
  <c r="Y43" i="10" s="1"/>
  <c r="Y44" i="10" a="1"/>
  <c r="Y44" i="10" s="1"/>
  <c r="Y45" i="10" a="1"/>
  <c r="Y45" i="10" s="1"/>
  <c r="Y46" i="10" a="1"/>
  <c r="Y46" i="10" s="1"/>
  <c r="Y47" i="10" a="1"/>
  <c r="Y47" i="10" s="1"/>
  <c r="Y48" i="10" a="1"/>
  <c r="Y48" i="10" s="1"/>
  <c r="Y49" i="10" a="1"/>
  <c r="Y49" i="10" s="1"/>
  <c r="Y50" i="10" a="1"/>
  <c r="Y50" i="10" s="1"/>
  <c r="Y51" i="10" a="1"/>
  <c r="Y51" i="10" s="1"/>
  <c r="Y52" i="10" a="1"/>
  <c r="Y52" i="10" s="1"/>
  <c r="Y53" i="10" a="1"/>
  <c r="Y53" i="10" s="1"/>
  <c r="Y54" i="10" a="1"/>
  <c r="Y54" i="10" s="1"/>
  <c r="Y55" i="10" a="1"/>
  <c r="Y55" i="10" s="1"/>
  <c r="Y56" i="10" a="1"/>
  <c r="Y56" i="10" s="1"/>
  <c r="Y57" i="10" a="1"/>
  <c r="Y57" i="10" s="1"/>
  <c r="Y58" i="10" a="1"/>
  <c r="Y58" i="10" s="1"/>
  <c r="Y59" i="10" a="1"/>
  <c r="Y59" i="10" s="1"/>
  <c r="Y60" i="10" a="1"/>
  <c r="Y60" i="10" s="1"/>
  <c r="Y61" i="10" a="1"/>
  <c r="Y61" i="10" s="1"/>
  <c r="Y62" i="10" a="1"/>
  <c r="Y62" i="10" s="1"/>
  <c r="Y63" i="10" a="1"/>
  <c r="Y63" i="10" s="1"/>
  <c r="Y64" i="10" a="1"/>
  <c r="Y64" i="10" s="1"/>
  <c r="Y65" i="10" a="1"/>
  <c r="Y65" i="10" s="1"/>
  <c r="Y66" i="10" a="1"/>
  <c r="Y66" i="10" s="1"/>
  <c r="Y67" i="10" a="1"/>
  <c r="Y67" i="10" s="1"/>
  <c r="Y68" i="10" a="1"/>
  <c r="Y68" i="10" s="1"/>
  <c r="Y69" i="10" a="1"/>
  <c r="Y69" i="10" s="1"/>
  <c r="Y70" i="10" a="1"/>
  <c r="Y70" i="10" s="1"/>
  <c r="Y71" i="10" a="1"/>
  <c r="Y71" i="10" s="1"/>
  <c r="Y72" i="10" a="1"/>
  <c r="Y72" i="10" s="1"/>
  <c r="Y73" i="10" a="1"/>
  <c r="Y73" i="10" s="1"/>
  <c r="Y74" i="10" a="1"/>
  <c r="Y74" i="10" s="1"/>
  <c r="Y75" i="10" a="1"/>
  <c r="Y75" i="10" s="1"/>
  <c r="Y76" i="10" a="1"/>
  <c r="Y76" i="10" s="1"/>
  <c r="Y77" i="10" a="1"/>
  <c r="Y77" i="10" s="1"/>
  <c r="Y78" i="10" a="1"/>
  <c r="Y78" i="10" s="1"/>
  <c r="Y79" i="10" a="1"/>
  <c r="Y79" i="10" s="1"/>
  <c r="Y80" i="10" a="1"/>
  <c r="Y80" i="10" s="1"/>
  <c r="Y81" i="10" a="1"/>
  <c r="Y81" i="10" s="1"/>
  <c r="Y82" i="10" a="1"/>
  <c r="Y82" i="10" s="1"/>
  <c r="Y83" i="10" a="1"/>
  <c r="Y83" i="10" s="1"/>
  <c r="Y84" i="10" a="1"/>
  <c r="Y84" i="10" s="1"/>
  <c r="Y85" i="10" a="1"/>
  <c r="Y85" i="10" s="1"/>
  <c r="Y86" i="10" a="1"/>
  <c r="Y86" i="10" s="1"/>
  <c r="Y87" i="10" a="1"/>
  <c r="Y87" i="10" s="1"/>
  <c r="Y88" i="10" a="1"/>
  <c r="Y88" i="10" s="1"/>
  <c r="Y89" i="10" a="1"/>
  <c r="Y89" i="10" s="1"/>
  <c r="Y90" i="10" a="1"/>
  <c r="Y90" i="10" s="1"/>
  <c r="Y91" i="10" a="1"/>
  <c r="Y91" i="10" s="1"/>
  <c r="Y92" i="10" a="1"/>
  <c r="Y92" i="10" s="1"/>
  <c r="Y93" i="10" a="1"/>
  <c r="Y93" i="10" s="1"/>
  <c r="Y94" i="10" a="1"/>
  <c r="Y94" i="10" s="1"/>
  <c r="Y95" i="10" a="1"/>
  <c r="Y95" i="10" s="1"/>
  <c r="Y96" i="10" a="1"/>
  <c r="Y96" i="10" s="1"/>
  <c r="Y97" i="10" a="1"/>
  <c r="Y97" i="10" s="1"/>
  <c r="Y98" i="10" a="1"/>
  <c r="Y98" i="10" s="1"/>
  <c r="Y99" i="10" a="1"/>
  <c r="Y99" i="10" s="1"/>
  <c r="Y100" i="10" a="1"/>
  <c r="Y100" i="10" s="1"/>
  <c r="Y101" i="10" a="1"/>
  <c r="Y101" i="10" s="1"/>
  <c r="Y102" i="10" a="1"/>
  <c r="Y102" i="10" s="1"/>
  <c r="Y103" i="10" a="1"/>
  <c r="Y103" i="10" s="1"/>
  <c r="Y104" i="10" a="1"/>
  <c r="Y104" i="10" s="1"/>
  <c r="Y105" i="10" a="1"/>
  <c r="Y105" i="10" s="1"/>
  <c r="Y106" i="10" a="1"/>
  <c r="Y106" i="10" s="1"/>
  <c r="Y107" i="10" a="1"/>
  <c r="Y107" i="10" s="1"/>
  <c r="Y108" i="10" a="1"/>
  <c r="Y108" i="10" s="1"/>
  <c r="Y109" i="10" a="1"/>
  <c r="Y109" i="10" s="1"/>
  <c r="Y110" i="10" a="1"/>
  <c r="Y110" i="10" s="1"/>
  <c r="Y111" i="10" a="1"/>
  <c r="Y111" i="10" s="1"/>
  <c r="Y112" i="10" a="1"/>
  <c r="Y112" i="10" s="1"/>
  <c r="Y113" i="10" a="1"/>
  <c r="Y113" i="10" s="1"/>
  <c r="Y114" i="10" a="1"/>
  <c r="Y114" i="10" s="1"/>
  <c r="Y115" i="10" a="1"/>
  <c r="Y115" i="10" s="1"/>
  <c r="Y116" i="10" a="1"/>
  <c r="Y116" i="10" s="1"/>
  <c r="Y117" i="10" a="1"/>
  <c r="Y117" i="10" s="1"/>
  <c r="Y118" i="10" a="1"/>
  <c r="Y118" i="10" s="1"/>
  <c r="Y119" i="10" a="1"/>
  <c r="Y119" i="10" s="1"/>
  <c r="Y120" i="10" a="1"/>
  <c r="Y120" i="10" s="1"/>
  <c r="Y121" i="10" a="1"/>
  <c r="Y121" i="10" s="1"/>
  <c r="Y122" i="10" a="1"/>
  <c r="Y122" i="10" s="1"/>
  <c r="Y123" i="10" a="1"/>
  <c r="Y123" i="10" s="1"/>
  <c r="Y124" i="10" a="1"/>
  <c r="Y124" i="10" s="1"/>
  <c r="Y125" i="10" a="1"/>
  <c r="Y125" i="10" s="1"/>
  <c r="Y126" i="10" a="1"/>
  <c r="Y126" i="10" s="1"/>
  <c r="Y127" i="10" a="1"/>
  <c r="Y127" i="10" s="1"/>
  <c r="Y128" i="10" a="1"/>
  <c r="Y128" i="10" s="1"/>
  <c r="Y129" i="10" a="1"/>
  <c r="Y129" i="10" s="1"/>
  <c r="Y130" i="10" a="1"/>
  <c r="Y130" i="10" s="1"/>
  <c r="Y131" i="10" a="1"/>
  <c r="Y131" i="10" s="1"/>
  <c r="Y132" i="10" a="1"/>
  <c r="Y132" i="10" s="1"/>
  <c r="Y133" i="10" a="1"/>
  <c r="Y133" i="10" s="1"/>
  <c r="Y134" i="10" a="1"/>
  <c r="Y134" i="10" s="1"/>
  <c r="Y135" i="10" a="1"/>
  <c r="Y135" i="10" s="1"/>
  <c r="Y136" i="10" a="1"/>
  <c r="Y136" i="10" s="1"/>
  <c r="Y137" i="10" a="1"/>
  <c r="Y137" i="10" s="1"/>
  <c r="Y138" i="10" a="1"/>
  <c r="Y138" i="10" s="1"/>
  <c r="Y139" i="10" a="1"/>
  <c r="Y139" i="10" s="1"/>
  <c r="Y140" i="10" a="1"/>
  <c r="Y140" i="10" s="1"/>
  <c r="Y141" i="10" a="1"/>
  <c r="Y141" i="10" s="1"/>
  <c r="Y142" i="10" a="1"/>
  <c r="Y142" i="10" s="1"/>
  <c r="Y143" i="10" a="1"/>
  <c r="Y143" i="10" s="1"/>
  <c r="Y144" i="10" a="1"/>
  <c r="Y144" i="10" s="1"/>
  <c r="Y145" i="10" a="1"/>
  <c r="Y145" i="10" s="1"/>
  <c r="Y146" i="10" a="1"/>
  <c r="Y146" i="10" s="1"/>
  <c r="Y147" i="10" a="1"/>
  <c r="Y147" i="10" s="1"/>
  <c r="Y148" i="10" a="1"/>
  <c r="Y148" i="10" s="1"/>
  <c r="Y149" i="10" a="1"/>
  <c r="Y149" i="10" s="1"/>
  <c r="X3" i="10" a="1"/>
  <c r="X3" i="10" s="1"/>
  <c r="X4" i="10" a="1"/>
  <c r="X4" i="10" s="1"/>
  <c r="X5" i="10" a="1"/>
  <c r="X5" i="10" s="1"/>
  <c r="X6" i="10" a="1"/>
  <c r="X6" i="10" s="1"/>
  <c r="X7" i="10" a="1"/>
  <c r="X7" i="10" s="1"/>
  <c r="X8" i="10" a="1"/>
  <c r="X8" i="10" s="1"/>
  <c r="X9" i="10" a="1"/>
  <c r="X9" i="10" s="1"/>
  <c r="X10" i="10" a="1"/>
  <c r="X10" i="10" s="1"/>
  <c r="X11" i="10" a="1"/>
  <c r="X11" i="10" s="1"/>
  <c r="X12" i="10" a="1"/>
  <c r="X12" i="10" s="1"/>
  <c r="X13" i="10" a="1"/>
  <c r="X13" i="10" s="1"/>
  <c r="X14" i="10" a="1"/>
  <c r="X14" i="10" s="1"/>
  <c r="X15" i="10" a="1"/>
  <c r="X15" i="10" s="1"/>
  <c r="X16" i="10" a="1"/>
  <c r="X16" i="10" s="1"/>
  <c r="X17" i="10" a="1"/>
  <c r="X17" i="10" s="1"/>
  <c r="X18" i="10" a="1"/>
  <c r="X18" i="10" s="1"/>
  <c r="X19" i="10" a="1"/>
  <c r="X19" i="10" s="1"/>
  <c r="X20" i="10" a="1"/>
  <c r="X20" i="10" s="1"/>
  <c r="X21" i="10" a="1"/>
  <c r="X21" i="10" s="1"/>
  <c r="X22" i="10" a="1"/>
  <c r="X22" i="10" s="1"/>
  <c r="X23" i="10" a="1"/>
  <c r="X23" i="10" s="1"/>
  <c r="X24" i="10" a="1"/>
  <c r="X24" i="10" s="1"/>
  <c r="X25" i="10" a="1"/>
  <c r="X25" i="10" s="1"/>
  <c r="X26" i="10" a="1"/>
  <c r="X26" i="10" s="1"/>
  <c r="X27" i="10" a="1"/>
  <c r="X27" i="10" s="1"/>
  <c r="X28" i="10" a="1"/>
  <c r="X28" i="10" s="1"/>
  <c r="X29" i="10" a="1"/>
  <c r="X29" i="10" s="1"/>
  <c r="X30" i="10" a="1"/>
  <c r="X30" i="10" s="1"/>
  <c r="X31" i="10" a="1"/>
  <c r="X31" i="10" s="1"/>
  <c r="X32" i="10" a="1"/>
  <c r="X32" i="10" s="1"/>
  <c r="X33" i="10" a="1"/>
  <c r="X33" i="10" s="1"/>
  <c r="X34" i="10" a="1"/>
  <c r="X34" i="10" s="1"/>
  <c r="X35" i="10" a="1"/>
  <c r="X35" i="10" s="1"/>
  <c r="X36" i="10" a="1"/>
  <c r="X36" i="10" s="1"/>
  <c r="X37" i="10" a="1"/>
  <c r="X37" i="10" s="1"/>
  <c r="X38" i="10" a="1"/>
  <c r="X38" i="10" s="1"/>
  <c r="X39" i="10" a="1"/>
  <c r="X39" i="10" s="1"/>
  <c r="X40" i="10" a="1"/>
  <c r="X40" i="10" s="1"/>
  <c r="X41" i="10" a="1"/>
  <c r="X41" i="10" s="1"/>
  <c r="X42" i="10" a="1"/>
  <c r="X42" i="10" s="1"/>
  <c r="X43" i="10" a="1"/>
  <c r="X43" i="10" s="1"/>
  <c r="X44" i="10" a="1"/>
  <c r="X44" i="10" s="1"/>
  <c r="X45" i="10" a="1"/>
  <c r="X45" i="10" s="1"/>
  <c r="X46" i="10" a="1"/>
  <c r="X46" i="10" s="1"/>
  <c r="X47" i="10" a="1"/>
  <c r="X47" i="10" s="1"/>
  <c r="X48" i="10" a="1"/>
  <c r="X48" i="10" s="1"/>
  <c r="X49" i="10" a="1"/>
  <c r="X49" i="10" s="1"/>
  <c r="X50" i="10" a="1"/>
  <c r="X50" i="10" s="1"/>
  <c r="X51" i="10" a="1"/>
  <c r="X51" i="10" s="1"/>
  <c r="X52" i="10" a="1"/>
  <c r="X52" i="10" s="1"/>
  <c r="X53" i="10" a="1"/>
  <c r="X53" i="10" s="1"/>
  <c r="X54" i="10" a="1"/>
  <c r="X54" i="10" s="1"/>
  <c r="X55" i="10" a="1"/>
  <c r="X55" i="10" s="1"/>
  <c r="X56" i="10" a="1"/>
  <c r="X56" i="10" s="1"/>
  <c r="X57" i="10" a="1"/>
  <c r="X57" i="10" s="1"/>
  <c r="X58" i="10" a="1"/>
  <c r="X58" i="10" s="1"/>
  <c r="X59" i="10" a="1"/>
  <c r="X59" i="10" s="1"/>
  <c r="X60" i="10" a="1"/>
  <c r="X60" i="10" s="1"/>
  <c r="X61" i="10" a="1"/>
  <c r="X61" i="10" s="1"/>
  <c r="X62" i="10" a="1"/>
  <c r="X62" i="10" s="1"/>
  <c r="X63" i="10" a="1"/>
  <c r="X63" i="10" s="1"/>
  <c r="X64" i="10" a="1"/>
  <c r="X64" i="10" s="1"/>
  <c r="X65" i="10" a="1"/>
  <c r="X65" i="10" s="1"/>
  <c r="X66" i="10" a="1"/>
  <c r="X66" i="10" s="1"/>
  <c r="X67" i="10" a="1"/>
  <c r="X67" i="10" s="1"/>
  <c r="X68" i="10" a="1"/>
  <c r="X68" i="10" s="1"/>
  <c r="X69" i="10" a="1"/>
  <c r="X69" i="10" s="1"/>
  <c r="X70" i="10" a="1"/>
  <c r="X70" i="10" s="1"/>
  <c r="X71" i="10" a="1"/>
  <c r="X71" i="10" s="1"/>
  <c r="X72" i="10" a="1"/>
  <c r="X72" i="10" s="1"/>
  <c r="X73" i="10" a="1"/>
  <c r="X73" i="10" s="1"/>
  <c r="X74" i="10" a="1"/>
  <c r="X74" i="10" s="1"/>
  <c r="X75" i="10" a="1"/>
  <c r="X75" i="10" s="1"/>
  <c r="X76" i="10" a="1"/>
  <c r="X76" i="10" s="1"/>
  <c r="X77" i="10" a="1"/>
  <c r="X77" i="10" s="1"/>
  <c r="X78" i="10" a="1"/>
  <c r="X78" i="10" s="1"/>
  <c r="X79" i="10" a="1"/>
  <c r="X79" i="10" s="1"/>
  <c r="X80" i="10" a="1"/>
  <c r="X80" i="10" s="1"/>
  <c r="X81" i="10" a="1"/>
  <c r="X81" i="10" s="1"/>
  <c r="X82" i="10" a="1"/>
  <c r="X82" i="10" s="1"/>
  <c r="X83" i="10" a="1"/>
  <c r="X83" i="10" s="1"/>
  <c r="X84" i="10" a="1"/>
  <c r="X84" i="10" s="1"/>
  <c r="X85" i="10" a="1"/>
  <c r="X85" i="10" s="1"/>
  <c r="X86" i="10" a="1"/>
  <c r="X86" i="10" s="1"/>
  <c r="X87" i="10" a="1"/>
  <c r="X87" i="10" s="1"/>
  <c r="X88" i="10" a="1"/>
  <c r="X88" i="10" s="1"/>
  <c r="X89" i="10" a="1"/>
  <c r="X89" i="10" s="1"/>
  <c r="X90" i="10" a="1"/>
  <c r="X90" i="10" s="1"/>
  <c r="X91" i="10" a="1"/>
  <c r="X91" i="10" s="1"/>
  <c r="X92" i="10" a="1"/>
  <c r="X92" i="10" s="1"/>
  <c r="X93" i="10" a="1"/>
  <c r="X93" i="10" s="1"/>
  <c r="X94" i="10" a="1"/>
  <c r="X94" i="10" s="1"/>
  <c r="X95" i="10" a="1"/>
  <c r="X95" i="10" s="1"/>
  <c r="X96" i="10" a="1"/>
  <c r="X96" i="10" s="1"/>
  <c r="X97" i="10" a="1"/>
  <c r="X97" i="10" s="1"/>
  <c r="X98" i="10" a="1"/>
  <c r="X98" i="10" s="1"/>
  <c r="X99" i="10" a="1"/>
  <c r="X99" i="10" s="1"/>
  <c r="X100" i="10" a="1"/>
  <c r="X100" i="10" s="1"/>
  <c r="X101" i="10" a="1"/>
  <c r="X101" i="10" s="1"/>
  <c r="X102" i="10" a="1"/>
  <c r="X102" i="10" s="1"/>
  <c r="X103" i="10" a="1"/>
  <c r="X103" i="10" s="1"/>
  <c r="X104" i="10" a="1"/>
  <c r="X104" i="10" s="1"/>
  <c r="X105" i="10" a="1"/>
  <c r="X105" i="10" s="1"/>
  <c r="X106" i="10" a="1"/>
  <c r="X106" i="10" s="1"/>
  <c r="X107" i="10" a="1"/>
  <c r="X107" i="10" s="1"/>
  <c r="X108" i="10" a="1"/>
  <c r="X108" i="10" s="1"/>
  <c r="X109" i="10" a="1"/>
  <c r="X109" i="10" s="1"/>
  <c r="X110" i="10" a="1"/>
  <c r="X110" i="10" s="1"/>
  <c r="X111" i="10" a="1"/>
  <c r="X111" i="10" s="1"/>
  <c r="X112" i="10" a="1"/>
  <c r="X112" i="10" s="1"/>
  <c r="X113" i="10" a="1"/>
  <c r="X113" i="10" s="1"/>
  <c r="X114" i="10" a="1"/>
  <c r="X114" i="10" s="1"/>
  <c r="X115" i="10" a="1"/>
  <c r="X115" i="10" s="1"/>
  <c r="X116" i="10" a="1"/>
  <c r="X116" i="10" s="1"/>
  <c r="X117" i="10" a="1"/>
  <c r="X117" i="10" s="1"/>
  <c r="X118" i="10" a="1"/>
  <c r="X118" i="10" s="1"/>
  <c r="X119" i="10" a="1"/>
  <c r="X119" i="10" s="1"/>
  <c r="X120" i="10" a="1"/>
  <c r="X120" i="10" s="1"/>
  <c r="X121" i="10" a="1"/>
  <c r="X121" i="10" s="1"/>
  <c r="X122" i="10" a="1"/>
  <c r="X122" i="10" s="1"/>
  <c r="X123" i="10" a="1"/>
  <c r="X123" i="10" s="1"/>
  <c r="X124" i="10" a="1"/>
  <c r="X124" i="10" s="1"/>
  <c r="X125" i="10" a="1"/>
  <c r="X125" i="10" s="1"/>
  <c r="X126" i="10" a="1"/>
  <c r="X126" i="10" s="1"/>
  <c r="X127" i="10" a="1"/>
  <c r="X127" i="10" s="1"/>
  <c r="X128" i="10" a="1"/>
  <c r="X128" i="10" s="1"/>
  <c r="X129" i="10" a="1"/>
  <c r="X129" i="10" s="1"/>
  <c r="X130" i="10" a="1"/>
  <c r="X130" i="10" s="1"/>
  <c r="X131" i="10" a="1"/>
  <c r="X131" i="10" s="1"/>
  <c r="X132" i="10" a="1"/>
  <c r="X132" i="10" s="1"/>
  <c r="X133" i="10" a="1"/>
  <c r="X133" i="10" s="1"/>
  <c r="X134" i="10" a="1"/>
  <c r="X134" i="10" s="1"/>
  <c r="X135" i="10" a="1"/>
  <c r="X135" i="10" s="1"/>
  <c r="X136" i="10" a="1"/>
  <c r="X136" i="10" s="1"/>
  <c r="X137" i="10" a="1"/>
  <c r="X137" i="10" s="1"/>
  <c r="X138" i="10" a="1"/>
  <c r="X138" i="10" s="1"/>
  <c r="X139" i="10" a="1"/>
  <c r="X139" i="10" s="1"/>
  <c r="X140" i="10" a="1"/>
  <c r="X140" i="10" s="1"/>
  <c r="X141" i="10" a="1"/>
  <c r="X141" i="10" s="1"/>
  <c r="X142" i="10" a="1"/>
  <c r="X142" i="10" s="1"/>
  <c r="X143" i="10" a="1"/>
  <c r="X143" i="10" s="1"/>
  <c r="X144" i="10" a="1"/>
  <c r="X144" i="10" s="1"/>
  <c r="X145" i="10" a="1"/>
  <c r="X145" i="10" s="1"/>
  <c r="X146" i="10" a="1"/>
  <c r="X146" i="10" s="1"/>
  <c r="X147" i="10" a="1"/>
  <c r="X147" i="10" s="1"/>
  <c r="X148" i="10" a="1"/>
  <c r="X148" i="10" s="1"/>
  <c r="X149" i="10" a="1"/>
  <c r="X149" i="10" s="1"/>
  <c r="X150" i="10" a="1"/>
  <c r="X150" i="10" s="1"/>
  <c r="X151" i="10" a="1"/>
  <c r="X151" i="10" s="1"/>
  <c r="X152" i="10" a="1"/>
  <c r="X152" i="10" s="1"/>
  <c r="X153" i="10" a="1"/>
  <c r="X153" i="10" s="1"/>
  <c r="X154" i="10" a="1"/>
  <c r="X154" i="10" s="1"/>
  <c r="X155" i="10" a="1"/>
  <c r="X155" i="10" s="1"/>
  <c r="X156" i="10" a="1"/>
  <c r="X156" i="10" s="1"/>
  <c r="X2" i="10" a="1"/>
  <c r="X2" i="10" s="1"/>
  <c r="W3" i="10" a="1"/>
  <c r="W3" i="10" s="1"/>
  <c r="W4" i="10" a="1"/>
  <c r="W4" i="10" s="1"/>
  <c r="W5" i="10" a="1"/>
  <c r="W5" i="10" s="1"/>
  <c r="W6" i="10" a="1"/>
  <c r="W6" i="10" s="1"/>
  <c r="W7" i="10" a="1"/>
  <c r="W7" i="10" s="1"/>
  <c r="W8" i="10" a="1"/>
  <c r="W8" i="10" s="1"/>
  <c r="W9" i="10" a="1"/>
  <c r="W9" i="10" s="1"/>
  <c r="W10" i="10" a="1"/>
  <c r="W10" i="10" s="1"/>
  <c r="W11" i="10" a="1"/>
  <c r="W11" i="10" s="1"/>
  <c r="W12" i="10" a="1"/>
  <c r="W12" i="10" s="1"/>
  <c r="W13" i="10" a="1"/>
  <c r="W13" i="10" s="1"/>
  <c r="W14" i="10" a="1"/>
  <c r="W14" i="10" s="1"/>
  <c r="W15" i="10" a="1"/>
  <c r="W15" i="10" s="1"/>
  <c r="W16" i="10" a="1"/>
  <c r="W16" i="10" s="1"/>
  <c r="W17" i="10" a="1"/>
  <c r="W17" i="10" s="1"/>
  <c r="W18" i="10" a="1"/>
  <c r="W18" i="10" s="1"/>
  <c r="W19" i="10" a="1"/>
  <c r="W19" i="10" s="1"/>
  <c r="W20" i="10" a="1"/>
  <c r="W20" i="10" s="1"/>
  <c r="W21" i="10" a="1"/>
  <c r="W21" i="10" s="1"/>
  <c r="W22" i="10" a="1"/>
  <c r="W22" i="10" s="1"/>
  <c r="W23" i="10" a="1"/>
  <c r="W23" i="10" s="1"/>
  <c r="W24" i="10" a="1"/>
  <c r="W24" i="10" s="1"/>
  <c r="W25" i="10" a="1"/>
  <c r="W25" i="10" s="1"/>
  <c r="W26" i="10" a="1"/>
  <c r="W26" i="10" s="1"/>
  <c r="W27" i="10" a="1"/>
  <c r="W27" i="10" s="1"/>
  <c r="W28" i="10" a="1"/>
  <c r="W28" i="10" s="1"/>
  <c r="W29" i="10" a="1"/>
  <c r="W29" i="10" s="1"/>
  <c r="W30" i="10" a="1"/>
  <c r="W30" i="10" s="1"/>
  <c r="W31" i="10" a="1"/>
  <c r="W31" i="10" s="1"/>
  <c r="W32" i="10" a="1"/>
  <c r="W32" i="10" s="1"/>
  <c r="W33" i="10" a="1"/>
  <c r="W33" i="10" s="1"/>
  <c r="W34" i="10" a="1"/>
  <c r="W34" i="10" s="1"/>
  <c r="W35" i="10" a="1"/>
  <c r="W35" i="10" s="1"/>
  <c r="W36" i="10" a="1"/>
  <c r="W36" i="10" s="1"/>
  <c r="W37" i="10" a="1"/>
  <c r="W37" i="10" s="1"/>
  <c r="W38" i="10" a="1"/>
  <c r="W38" i="10" s="1"/>
  <c r="W39" i="10" a="1"/>
  <c r="W39" i="10" s="1"/>
  <c r="W40" i="10" a="1"/>
  <c r="W40" i="10" s="1"/>
  <c r="W41" i="10" a="1"/>
  <c r="W41" i="10" s="1"/>
  <c r="W42" i="10" a="1"/>
  <c r="W42" i="10" s="1"/>
  <c r="W43" i="10" a="1"/>
  <c r="W43" i="10" s="1"/>
  <c r="W44" i="10" a="1"/>
  <c r="W44" i="10" s="1"/>
  <c r="W45" i="10" a="1"/>
  <c r="W45" i="10" s="1"/>
  <c r="W46" i="10" a="1"/>
  <c r="W46" i="10" s="1"/>
  <c r="W47" i="10" a="1"/>
  <c r="W47" i="10" s="1"/>
  <c r="W48" i="10" a="1"/>
  <c r="W48" i="10" s="1"/>
  <c r="W49" i="10" a="1"/>
  <c r="W49" i="10" s="1"/>
  <c r="W50" i="10" a="1"/>
  <c r="W50" i="10" s="1"/>
  <c r="W51" i="10" a="1"/>
  <c r="W51" i="10" s="1"/>
  <c r="W52" i="10" a="1"/>
  <c r="W52" i="10" s="1"/>
  <c r="W53" i="10" a="1"/>
  <c r="W53" i="10" s="1"/>
  <c r="W54" i="10" a="1"/>
  <c r="W54" i="10" s="1"/>
  <c r="W55" i="10" a="1"/>
  <c r="W55" i="10" s="1"/>
  <c r="W56" i="10" a="1"/>
  <c r="W56" i="10" s="1"/>
  <c r="W57" i="10" a="1"/>
  <c r="W57" i="10" s="1"/>
  <c r="W58" i="10" a="1"/>
  <c r="W58" i="10" s="1"/>
  <c r="W59" i="10" a="1"/>
  <c r="W59" i="10" s="1"/>
  <c r="W60" i="10" a="1"/>
  <c r="W60" i="10" s="1"/>
  <c r="W61" i="10" a="1"/>
  <c r="W61" i="10" s="1"/>
  <c r="W62" i="10" a="1"/>
  <c r="W62" i="10" s="1"/>
  <c r="W63" i="10" a="1"/>
  <c r="W63" i="10" s="1"/>
  <c r="W64" i="10" a="1"/>
  <c r="W64" i="10" s="1"/>
  <c r="W65" i="10" a="1"/>
  <c r="W65" i="10" s="1"/>
  <c r="W66" i="10" a="1"/>
  <c r="W66" i="10" s="1"/>
  <c r="W67" i="10" a="1"/>
  <c r="W67" i="10" s="1"/>
  <c r="W68" i="10" a="1"/>
  <c r="W68" i="10" s="1"/>
  <c r="W69" i="10" a="1"/>
  <c r="W69" i="10" s="1"/>
  <c r="W70" i="10" a="1"/>
  <c r="W70" i="10" s="1"/>
  <c r="W71" i="10" a="1"/>
  <c r="W71" i="10" s="1"/>
  <c r="W72" i="10" a="1"/>
  <c r="W72" i="10" s="1"/>
  <c r="W73" i="10" a="1"/>
  <c r="W73" i="10" s="1"/>
  <c r="W74" i="10" a="1"/>
  <c r="W74" i="10" s="1"/>
  <c r="W75" i="10" a="1"/>
  <c r="W75" i="10" s="1"/>
  <c r="W76" i="10" a="1"/>
  <c r="W76" i="10" s="1"/>
  <c r="W77" i="10" a="1"/>
  <c r="W77" i="10" s="1"/>
  <c r="W78" i="10" a="1"/>
  <c r="W78" i="10" s="1"/>
  <c r="W79" i="10" a="1"/>
  <c r="W79" i="10" s="1"/>
  <c r="W80" i="10" a="1"/>
  <c r="W80" i="10" s="1"/>
  <c r="W81" i="10" a="1"/>
  <c r="W81" i="10" s="1"/>
  <c r="W82" i="10" a="1"/>
  <c r="W82" i="10" s="1"/>
  <c r="W83" i="10" a="1"/>
  <c r="W83" i="10" s="1"/>
  <c r="W84" i="10" a="1"/>
  <c r="W84" i="10" s="1"/>
  <c r="W85" i="10" a="1"/>
  <c r="W85" i="10" s="1"/>
  <c r="W86" i="10" a="1"/>
  <c r="W86" i="10" s="1"/>
  <c r="W87" i="10" a="1"/>
  <c r="W87" i="10" s="1"/>
  <c r="W88" i="10" a="1"/>
  <c r="W88" i="10" s="1"/>
  <c r="W89" i="10" a="1"/>
  <c r="W89" i="10" s="1"/>
  <c r="W90" i="10" a="1"/>
  <c r="W90" i="10" s="1"/>
  <c r="W91" i="10" a="1"/>
  <c r="W91" i="10" s="1"/>
  <c r="W92" i="10" a="1"/>
  <c r="W92" i="10" s="1"/>
  <c r="W93" i="10" a="1"/>
  <c r="W93" i="10" s="1"/>
  <c r="W94" i="10" a="1"/>
  <c r="W94" i="10" s="1"/>
  <c r="W95" i="10" a="1"/>
  <c r="W95" i="10" s="1"/>
  <c r="W96" i="10" a="1"/>
  <c r="W96" i="10" s="1"/>
  <c r="W97" i="10" a="1"/>
  <c r="W97" i="10" s="1"/>
  <c r="W98" i="10" a="1"/>
  <c r="W98" i="10" s="1"/>
  <c r="W99" i="10" a="1"/>
  <c r="W99" i="10" s="1"/>
  <c r="W100" i="10" a="1"/>
  <c r="W100" i="10" s="1"/>
  <c r="W101" i="10" a="1"/>
  <c r="W101" i="10" s="1"/>
  <c r="W102" i="10" a="1"/>
  <c r="W102" i="10" s="1"/>
  <c r="W103" i="10" a="1"/>
  <c r="W103" i="10" s="1"/>
  <c r="W104" i="10" a="1"/>
  <c r="W104" i="10" s="1"/>
  <c r="W105" i="10" a="1"/>
  <c r="W105" i="10" s="1"/>
  <c r="W106" i="10" a="1"/>
  <c r="W106" i="10" s="1"/>
  <c r="W107" i="10" a="1"/>
  <c r="W107" i="10" s="1"/>
  <c r="W108" i="10" a="1"/>
  <c r="W108" i="10" s="1"/>
  <c r="W109" i="10" a="1"/>
  <c r="W109" i="10" s="1"/>
  <c r="W110" i="10" a="1"/>
  <c r="W110" i="10" s="1"/>
  <c r="W111" i="10" a="1"/>
  <c r="W111" i="10" s="1"/>
  <c r="W112" i="10" a="1"/>
  <c r="W112" i="10" s="1"/>
  <c r="W113" i="10" a="1"/>
  <c r="W113" i="10" s="1"/>
  <c r="W114" i="10" a="1"/>
  <c r="W114" i="10" s="1"/>
  <c r="W115" i="10" a="1"/>
  <c r="W115" i="10" s="1"/>
  <c r="W116" i="10" a="1"/>
  <c r="W116" i="10" s="1"/>
  <c r="W117" i="10" a="1"/>
  <c r="W117" i="10" s="1"/>
  <c r="W118" i="10" a="1"/>
  <c r="W118" i="10" s="1"/>
  <c r="W119" i="10" a="1"/>
  <c r="W119" i="10" s="1"/>
  <c r="W120" i="10" a="1"/>
  <c r="W120" i="10" s="1"/>
  <c r="W121" i="10" a="1"/>
  <c r="W121" i="10" s="1"/>
  <c r="W122" i="10" a="1"/>
  <c r="W122" i="10" s="1"/>
  <c r="W123" i="10" a="1"/>
  <c r="W123" i="10" s="1"/>
  <c r="W124" i="10" a="1"/>
  <c r="W124" i="10" s="1"/>
  <c r="W125" i="10" a="1"/>
  <c r="W125" i="10" s="1"/>
  <c r="W126" i="10" a="1"/>
  <c r="W126" i="10" s="1"/>
  <c r="W127" i="10" a="1"/>
  <c r="W127" i="10" s="1"/>
  <c r="W128" i="10" a="1"/>
  <c r="W128" i="10" s="1"/>
  <c r="W129" i="10" a="1"/>
  <c r="W129" i="10" s="1"/>
  <c r="W130" i="10" a="1"/>
  <c r="W130" i="10" s="1"/>
  <c r="W131" i="10" a="1"/>
  <c r="W131" i="10" s="1"/>
  <c r="W132" i="10" a="1"/>
  <c r="W132" i="10" s="1"/>
  <c r="W133" i="10" a="1"/>
  <c r="W133" i="10" s="1"/>
  <c r="W134" i="10" a="1"/>
  <c r="W134" i="10" s="1"/>
  <c r="W135" i="10" a="1"/>
  <c r="W135" i="10" s="1"/>
  <c r="W136" i="10" a="1"/>
  <c r="W136" i="10" s="1"/>
  <c r="W137" i="10" a="1"/>
  <c r="W137" i="10" s="1"/>
  <c r="W138" i="10" a="1"/>
  <c r="W138" i="10" s="1"/>
  <c r="W139" i="10" a="1"/>
  <c r="W139" i="10" s="1"/>
  <c r="W140" i="10" a="1"/>
  <c r="W140" i="10" s="1"/>
  <c r="W141" i="10" a="1"/>
  <c r="W141" i="10" s="1"/>
  <c r="W142" i="10" a="1"/>
  <c r="W142" i="10" s="1"/>
  <c r="W143" i="10" a="1"/>
  <c r="W143" i="10" s="1"/>
  <c r="W144" i="10" a="1"/>
  <c r="W144" i="10" s="1"/>
  <c r="W145" i="10" a="1"/>
  <c r="W145" i="10" s="1"/>
  <c r="W146" i="10" a="1"/>
  <c r="W146" i="10" s="1"/>
  <c r="W147" i="10" a="1"/>
  <c r="W147" i="10" s="1"/>
  <c r="W148" i="10" a="1"/>
  <c r="W148" i="10" s="1"/>
  <c r="W149" i="10" a="1"/>
  <c r="W149" i="10" s="1"/>
  <c r="W150" i="10" a="1"/>
  <c r="W150" i="10" s="1"/>
  <c r="W151" i="10" a="1"/>
  <c r="W151" i="10" s="1"/>
  <c r="W152" i="10" a="1"/>
  <c r="W152" i="10" s="1"/>
  <c r="W153" i="10" a="1"/>
  <c r="W153" i="10" s="1"/>
  <c r="W154" i="10" a="1"/>
  <c r="W154" i="10" s="1"/>
  <c r="W155" i="10" a="1"/>
  <c r="W155" i="10" s="1"/>
  <c r="W156" i="10" a="1"/>
  <c r="W156" i="10" s="1"/>
  <c r="W157" i="10" a="1"/>
  <c r="W157" i="10" s="1"/>
  <c r="W158" i="10" a="1"/>
  <c r="W158" i="10" s="1"/>
  <c r="W159" i="10" a="1"/>
  <c r="W159" i="10" s="1"/>
  <c r="W2" i="10" a="1"/>
  <c r="W2" i="10" s="1"/>
  <c r="V3" i="10" a="1"/>
  <c r="V3" i="10" s="1"/>
  <c r="V4" i="10" a="1"/>
  <c r="V4" i="10" s="1"/>
  <c r="V5" i="10" a="1"/>
  <c r="V5" i="10" s="1"/>
  <c r="V6" i="10" a="1"/>
  <c r="V6" i="10" s="1"/>
  <c r="V7" i="10" a="1"/>
  <c r="V7" i="10" s="1"/>
  <c r="V8" i="10" a="1"/>
  <c r="V8" i="10" s="1"/>
  <c r="V9" i="10" a="1"/>
  <c r="V9" i="10" s="1"/>
  <c r="V10" i="10" a="1"/>
  <c r="V10" i="10" s="1"/>
  <c r="V11" i="10" a="1"/>
  <c r="V11" i="10" s="1"/>
  <c r="V12" i="10" a="1"/>
  <c r="V12" i="10" s="1"/>
  <c r="V13" i="10" a="1"/>
  <c r="V13" i="10" s="1"/>
  <c r="V14" i="10" a="1"/>
  <c r="V14" i="10" s="1"/>
  <c r="V15" i="10" a="1"/>
  <c r="V15" i="10" s="1"/>
  <c r="V16" i="10" a="1"/>
  <c r="V16" i="10" s="1"/>
  <c r="V17" i="10" a="1"/>
  <c r="V17" i="10" s="1"/>
  <c r="V18" i="10" a="1"/>
  <c r="V18" i="10" s="1"/>
  <c r="V19" i="10" a="1"/>
  <c r="V19" i="10" s="1"/>
  <c r="V20" i="10" a="1"/>
  <c r="V20" i="10" s="1"/>
  <c r="V21" i="10" a="1"/>
  <c r="V21" i="10" s="1"/>
  <c r="V22" i="10" a="1"/>
  <c r="V22" i="10" s="1"/>
  <c r="V23" i="10" a="1"/>
  <c r="V23" i="10" s="1"/>
  <c r="V24" i="10" a="1"/>
  <c r="V24" i="10" s="1"/>
  <c r="V25" i="10" a="1"/>
  <c r="V25" i="10" s="1"/>
  <c r="V26" i="10" a="1"/>
  <c r="V26" i="10" s="1"/>
  <c r="V27" i="10" a="1"/>
  <c r="V27" i="10" s="1"/>
  <c r="V28" i="10" a="1"/>
  <c r="V28" i="10" s="1"/>
  <c r="V29" i="10" a="1"/>
  <c r="V29" i="10" s="1"/>
  <c r="V30" i="10" a="1"/>
  <c r="V30" i="10" s="1"/>
  <c r="V31" i="10" a="1"/>
  <c r="V31" i="10" s="1"/>
  <c r="V32" i="10" a="1"/>
  <c r="V32" i="10" s="1"/>
  <c r="V33" i="10" a="1"/>
  <c r="V33" i="10" s="1"/>
  <c r="V34" i="10" a="1"/>
  <c r="V34" i="10" s="1"/>
  <c r="V35" i="10" a="1"/>
  <c r="V35" i="10" s="1"/>
  <c r="V36" i="10" a="1"/>
  <c r="V36" i="10" s="1"/>
  <c r="V37" i="10" a="1"/>
  <c r="V37" i="10" s="1"/>
  <c r="V38" i="10" a="1"/>
  <c r="V38" i="10" s="1"/>
  <c r="V39" i="10" a="1"/>
  <c r="V39" i="10" s="1"/>
  <c r="V40" i="10" a="1"/>
  <c r="V40" i="10" s="1"/>
  <c r="V41" i="10" a="1"/>
  <c r="V41" i="10" s="1"/>
  <c r="V42" i="10" a="1"/>
  <c r="V42" i="10" s="1"/>
  <c r="V43" i="10" a="1"/>
  <c r="V43" i="10" s="1"/>
  <c r="V44" i="10" a="1"/>
  <c r="V44" i="10" s="1"/>
  <c r="V45" i="10" a="1"/>
  <c r="V45" i="10" s="1"/>
  <c r="V46" i="10" a="1"/>
  <c r="V46" i="10" s="1"/>
  <c r="V47" i="10" a="1"/>
  <c r="V47" i="10" s="1"/>
  <c r="V48" i="10" a="1"/>
  <c r="V48" i="10" s="1"/>
  <c r="V49" i="10" a="1"/>
  <c r="V49" i="10" s="1"/>
  <c r="V50" i="10" a="1"/>
  <c r="V50" i="10" s="1"/>
  <c r="V51" i="10" a="1"/>
  <c r="V51" i="10" s="1"/>
  <c r="V52" i="10" a="1"/>
  <c r="V52" i="10" s="1"/>
  <c r="V53" i="10" a="1"/>
  <c r="V53" i="10" s="1"/>
  <c r="V54" i="10" a="1"/>
  <c r="V54" i="10" s="1"/>
  <c r="V55" i="10" a="1"/>
  <c r="V55" i="10" s="1"/>
  <c r="V56" i="10" a="1"/>
  <c r="V56" i="10" s="1"/>
  <c r="V57" i="10" a="1"/>
  <c r="V57" i="10" s="1"/>
  <c r="V58" i="10" a="1"/>
  <c r="V58" i="10" s="1"/>
  <c r="V59" i="10" a="1"/>
  <c r="V59" i="10" s="1"/>
  <c r="V60" i="10" a="1"/>
  <c r="V60" i="10" s="1"/>
  <c r="V61" i="10" a="1"/>
  <c r="V61" i="10" s="1"/>
  <c r="V62" i="10" a="1"/>
  <c r="V62" i="10" s="1"/>
  <c r="V63" i="10" a="1"/>
  <c r="V63" i="10" s="1"/>
  <c r="V64" i="10" a="1"/>
  <c r="V64" i="10" s="1"/>
  <c r="V65" i="10" a="1"/>
  <c r="V65" i="10" s="1"/>
  <c r="V66" i="10" a="1"/>
  <c r="V66" i="10" s="1"/>
  <c r="V67" i="10" a="1"/>
  <c r="V67" i="10" s="1"/>
  <c r="V68" i="10" a="1"/>
  <c r="V68" i="10" s="1"/>
  <c r="V69" i="10" a="1"/>
  <c r="V69" i="10" s="1"/>
  <c r="V70" i="10" a="1"/>
  <c r="V70" i="10" s="1"/>
  <c r="V71" i="10" a="1"/>
  <c r="V71" i="10" s="1"/>
  <c r="V72" i="10" a="1"/>
  <c r="V72" i="10" s="1"/>
  <c r="V73" i="10" a="1"/>
  <c r="V73" i="10" s="1"/>
  <c r="V74" i="10" a="1"/>
  <c r="V74" i="10" s="1"/>
  <c r="V75" i="10" a="1"/>
  <c r="V75" i="10" s="1"/>
  <c r="V76" i="10" a="1"/>
  <c r="V76" i="10" s="1"/>
  <c r="V77" i="10" a="1"/>
  <c r="V77" i="10" s="1"/>
  <c r="V78" i="10" a="1"/>
  <c r="V78" i="10" s="1"/>
  <c r="V79" i="10" a="1"/>
  <c r="V79" i="10" s="1"/>
  <c r="V80" i="10" a="1"/>
  <c r="V80" i="10" s="1"/>
  <c r="V81" i="10" a="1"/>
  <c r="V81" i="10" s="1"/>
  <c r="V82" i="10" a="1"/>
  <c r="V82" i="10" s="1"/>
  <c r="V83" i="10" a="1"/>
  <c r="V83" i="10" s="1"/>
  <c r="V84" i="10" a="1"/>
  <c r="V84" i="10" s="1"/>
  <c r="V85" i="10" a="1"/>
  <c r="V85" i="10" s="1"/>
  <c r="V86" i="10" a="1"/>
  <c r="V86" i="10" s="1"/>
  <c r="V87" i="10" a="1"/>
  <c r="V87" i="10" s="1"/>
  <c r="V88" i="10" a="1"/>
  <c r="V88" i="10" s="1"/>
  <c r="V89" i="10" a="1"/>
  <c r="V89" i="10" s="1"/>
  <c r="V90" i="10" a="1"/>
  <c r="V90" i="10" s="1"/>
  <c r="V91" i="10" a="1"/>
  <c r="V91" i="10" s="1"/>
  <c r="V92" i="10" a="1"/>
  <c r="V92" i="10" s="1"/>
  <c r="V93" i="10" a="1"/>
  <c r="V93" i="10" s="1"/>
  <c r="V94" i="10" a="1"/>
  <c r="V94" i="10" s="1"/>
  <c r="V95" i="10" a="1"/>
  <c r="V95" i="10" s="1"/>
  <c r="V96" i="10" a="1"/>
  <c r="V96" i="10" s="1"/>
  <c r="V97" i="10" a="1"/>
  <c r="V97" i="10" s="1"/>
  <c r="V98" i="10" a="1"/>
  <c r="V98" i="10" s="1"/>
  <c r="V99" i="10" a="1"/>
  <c r="V99" i="10" s="1"/>
  <c r="V100" i="10" a="1"/>
  <c r="V100" i="10" s="1"/>
  <c r="V101" i="10" a="1"/>
  <c r="V101" i="10" s="1"/>
  <c r="V102" i="10" a="1"/>
  <c r="V102" i="10" s="1"/>
  <c r="V103" i="10" a="1"/>
  <c r="V103" i="10" s="1"/>
  <c r="V104" i="10" a="1"/>
  <c r="V104" i="10" s="1"/>
  <c r="V105" i="10" a="1"/>
  <c r="V105" i="10" s="1"/>
  <c r="V106" i="10" a="1"/>
  <c r="V106" i="10" s="1"/>
  <c r="V107" i="10" a="1"/>
  <c r="V107" i="10" s="1"/>
  <c r="V108" i="10" a="1"/>
  <c r="V108" i="10" s="1"/>
  <c r="V109" i="10" a="1"/>
  <c r="V109" i="10" s="1"/>
  <c r="V110" i="10" a="1"/>
  <c r="V110" i="10" s="1"/>
  <c r="V111" i="10" a="1"/>
  <c r="V111" i="10" s="1"/>
  <c r="V112" i="10" a="1"/>
  <c r="V112" i="10" s="1"/>
  <c r="V113" i="10" a="1"/>
  <c r="V113" i="10" s="1"/>
  <c r="V114" i="10" a="1"/>
  <c r="V114" i="10" s="1"/>
  <c r="V115" i="10" a="1"/>
  <c r="V115" i="10" s="1"/>
  <c r="V116" i="10" a="1"/>
  <c r="V116" i="10" s="1"/>
  <c r="V117" i="10" a="1"/>
  <c r="V117" i="10" s="1"/>
  <c r="V118" i="10" a="1"/>
  <c r="V118" i="10" s="1"/>
  <c r="V119" i="10" a="1"/>
  <c r="V119" i="10" s="1"/>
  <c r="V120" i="10" a="1"/>
  <c r="V120" i="10" s="1"/>
  <c r="V121" i="10" a="1"/>
  <c r="V121" i="10" s="1"/>
  <c r="V122" i="10" a="1"/>
  <c r="V122" i="10" s="1"/>
  <c r="V123" i="10" a="1"/>
  <c r="V123" i="10" s="1"/>
  <c r="V124" i="10" a="1"/>
  <c r="V124" i="10" s="1"/>
  <c r="V125" i="10" a="1"/>
  <c r="V125" i="10" s="1"/>
  <c r="V126" i="10" a="1"/>
  <c r="V126" i="10" s="1"/>
  <c r="V127" i="10" a="1"/>
  <c r="V127" i="10" s="1"/>
  <c r="V128" i="10" a="1"/>
  <c r="V128" i="10" s="1"/>
  <c r="V129" i="10" a="1"/>
  <c r="V129" i="10" s="1"/>
  <c r="V130" i="10" a="1"/>
  <c r="V130" i="10" s="1"/>
  <c r="V131" i="10" a="1"/>
  <c r="V131" i="10" s="1"/>
  <c r="V132" i="10" a="1"/>
  <c r="V132" i="10" s="1"/>
  <c r="V133" i="10" a="1"/>
  <c r="V133" i="10" s="1"/>
  <c r="V134" i="10" a="1"/>
  <c r="V134" i="10" s="1"/>
  <c r="R22" i="21" s="1"/>
  <c r="V135" i="10" a="1"/>
  <c r="V135" i="10" s="1"/>
  <c r="V136" i="10" a="1"/>
  <c r="V136" i="10" s="1"/>
  <c r="V137" i="10" a="1"/>
  <c r="V137" i="10" s="1"/>
  <c r="V138" i="10" a="1"/>
  <c r="V138" i="10" s="1"/>
  <c r="V139" i="10" a="1"/>
  <c r="V139" i="10" s="1"/>
  <c r="V140" i="10" a="1"/>
  <c r="V140" i="10" s="1"/>
  <c r="V141" i="10" a="1"/>
  <c r="V141" i="10" s="1"/>
  <c r="V142" i="10" a="1"/>
  <c r="V142" i="10" s="1"/>
  <c r="V143" i="10" a="1"/>
  <c r="V143" i="10" s="1"/>
  <c r="V144" i="10" a="1"/>
  <c r="V144" i="10" s="1"/>
  <c r="V145" i="10" a="1"/>
  <c r="V145" i="10" s="1"/>
  <c r="V146" i="10" a="1"/>
  <c r="V146" i="10" s="1"/>
  <c r="V147" i="10" a="1"/>
  <c r="V147" i="10" s="1"/>
  <c r="V148" i="10" a="1"/>
  <c r="V148" i="10" s="1"/>
  <c r="V149" i="10" a="1"/>
  <c r="V149" i="10" s="1"/>
  <c r="V150" i="10" a="1"/>
  <c r="V150" i="10" s="1"/>
  <c r="V151" i="10" a="1"/>
  <c r="V151" i="10" s="1"/>
  <c r="V152" i="10" a="1"/>
  <c r="V152" i="10" s="1"/>
  <c r="V153" i="10" a="1"/>
  <c r="V153" i="10" s="1"/>
  <c r="V154" i="10" a="1"/>
  <c r="V154" i="10" s="1"/>
  <c r="V155" i="10" a="1"/>
  <c r="V155" i="10" s="1"/>
  <c r="V156" i="10" a="1"/>
  <c r="V156" i="10" s="1"/>
  <c r="V157" i="10" a="1"/>
  <c r="V157" i="10" s="1"/>
  <c r="R27" i="21" s="1"/>
  <c r="V158" i="10" a="1"/>
  <c r="V158" i="10" s="1"/>
  <c r="V159" i="10" a="1"/>
  <c r="V159" i="10" s="1"/>
  <c r="V2" i="10" a="1"/>
  <c r="V2" i="10" s="1"/>
  <c r="U2" i="10" a="1"/>
  <c r="U2" i="10" s="1"/>
  <c r="U3" i="10" a="1"/>
  <c r="U3" i="10" s="1"/>
  <c r="U4" i="10" a="1"/>
  <c r="U4" i="10" s="1"/>
  <c r="U5" i="10" a="1"/>
  <c r="U5" i="10" s="1"/>
  <c r="U6" i="10" a="1"/>
  <c r="U6" i="10" s="1"/>
  <c r="U7" i="10" a="1"/>
  <c r="U7" i="10" s="1"/>
  <c r="U8" i="10" a="1"/>
  <c r="U8" i="10" s="1"/>
  <c r="U9" i="10" a="1"/>
  <c r="U9" i="10" s="1"/>
  <c r="U10" i="10" a="1"/>
  <c r="U10" i="10" s="1"/>
  <c r="U11" i="10" a="1"/>
  <c r="U11" i="10" s="1"/>
  <c r="U12" i="10" a="1"/>
  <c r="U12" i="10" s="1"/>
  <c r="U13" i="10" a="1"/>
  <c r="U13" i="10" s="1"/>
  <c r="U14" i="10" a="1"/>
  <c r="U14" i="10" s="1"/>
  <c r="U15" i="10" a="1"/>
  <c r="U15" i="10" s="1"/>
  <c r="U16" i="10" a="1"/>
  <c r="U16" i="10" s="1"/>
  <c r="U17" i="10" a="1"/>
  <c r="U17" i="10" s="1"/>
  <c r="U18" i="10" a="1"/>
  <c r="U18" i="10" s="1"/>
  <c r="U19" i="10" a="1"/>
  <c r="U19" i="10" s="1"/>
  <c r="U20" i="10" a="1"/>
  <c r="U20" i="10" s="1"/>
  <c r="U21" i="10" a="1"/>
  <c r="U21" i="10" s="1"/>
  <c r="U22" i="10" a="1"/>
  <c r="U22" i="10" s="1"/>
  <c r="U23" i="10" a="1"/>
  <c r="U23" i="10" s="1"/>
  <c r="U24" i="10" a="1"/>
  <c r="U24" i="10" s="1"/>
  <c r="U25" i="10" a="1"/>
  <c r="U25" i="10" s="1"/>
  <c r="U26" i="10" a="1"/>
  <c r="U26" i="10" s="1"/>
  <c r="U27" i="10" a="1"/>
  <c r="U27" i="10" s="1"/>
  <c r="U28" i="10" a="1"/>
  <c r="U28" i="10" s="1"/>
  <c r="U29" i="10" a="1"/>
  <c r="U29" i="10" s="1"/>
  <c r="U30" i="10" a="1"/>
  <c r="U30" i="10" s="1"/>
  <c r="U31" i="10" a="1"/>
  <c r="U31" i="10" s="1"/>
  <c r="U32" i="10" a="1"/>
  <c r="U32" i="10" s="1"/>
  <c r="U33" i="10" a="1"/>
  <c r="U33" i="10" s="1"/>
  <c r="U34" i="10" a="1"/>
  <c r="U34" i="10" s="1"/>
  <c r="U35" i="10" a="1"/>
  <c r="U35" i="10" s="1"/>
  <c r="U36" i="10" a="1"/>
  <c r="U36" i="10" s="1"/>
  <c r="U37" i="10" a="1"/>
  <c r="U37" i="10" s="1"/>
  <c r="U38" i="10" a="1"/>
  <c r="U38" i="10" s="1"/>
  <c r="U39" i="10" a="1"/>
  <c r="U39" i="10" s="1"/>
  <c r="U40" i="10" a="1"/>
  <c r="U40" i="10" s="1"/>
  <c r="U41" i="10" a="1"/>
  <c r="U41" i="10" s="1"/>
  <c r="U42" i="10" a="1"/>
  <c r="U42" i="10" s="1"/>
  <c r="U43" i="10" a="1"/>
  <c r="U43" i="10" s="1"/>
  <c r="U44" i="10" a="1"/>
  <c r="U44" i="10" s="1"/>
  <c r="U45" i="10" a="1"/>
  <c r="U45" i="10" s="1"/>
  <c r="U46" i="10" a="1"/>
  <c r="U46" i="10" s="1"/>
  <c r="U47" i="10" a="1"/>
  <c r="U47" i="10" s="1"/>
  <c r="U48" i="10" a="1"/>
  <c r="U48" i="10" s="1"/>
  <c r="U49" i="10" a="1"/>
  <c r="U49" i="10" s="1"/>
  <c r="U50" i="10" a="1"/>
  <c r="U50" i="10" s="1"/>
  <c r="U51" i="10" a="1"/>
  <c r="U51" i="10" s="1"/>
  <c r="U52" i="10" a="1"/>
  <c r="U52" i="10" s="1"/>
  <c r="U53" i="10" a="1"/>
  <c r="U53" i="10" s="1"/>
  <c r="U54" i="10" a="1"/>
  <c r="U54" i="10" s="1"/>
  <c r="U55" i="10" a="1"/>
  <c r="U55" i="10" s="1"/>
  <c r="U56" i="10" a="1"/>
  <c r="U56" i="10" s="1"/>
  <c r="U57" i="10" a="1"/>
  <c r="U57" i="10" s="1"/>
  <c r="U58" i="10" a="1"/>
  <c r="U58" i="10" s="1"/>
  <c r="U59" i="10" a="1"/>
  <c r="U59" i="10" s="1"/>
  <c r="U60" i="10" a="1"/>
  <c r="U60" i="10" s="1"/>
  <c r="U61" i="10" a="1"/>
  <c r="U61" i="10" s="1"/>
  <c r="U62" i="10" a="1"/>
  <c r="U62" i="10" s="1"/>
  <c r="U63" i="10" a="1"/>
  <c r="U63" i="10" s="1"/>
  <c r="U64" i="10" a="1"/>
  <c r="U64" i="10" s="1"/>
  <c r="U65" i="10" a="1"/>
  <c r="U65" i="10" s="1"/>
  <c r="U66" i="10" a="1"/>
  <c r="U66" i="10" s="1"/>
  <c r="U67" i="10" a="1"/>
  <c r="U67" i="10" s="1"/>
  <c r="U68" i="10" a="1"/>
  <c r="U68" i="10" s="1"/>
  <c r="U69" i="10" a="1"/>
  <c r="U69" i="10" s="1"/>
  <c r="U70" i="10" a="1"/>
  <c r="U70" i="10" s="1"/>
  <c r="U71" i="10" a="1"/>
  <c r="U71" i="10" s="1"/>
  <c r="U72" i="10" a="1"/>
  <c r="U72" i="10" s="1"/>
  <c r="U73" i="10" a="1"/>
  <c r="U73" i="10" s="1"/>
  <c r="U74" i="10" a="1"/>
  <c r="U74" i="10" s="1"/>
  <c r="U75" i="10" a="1"/>
  <c r="U75" i="10" s="1"/>
  <c r="U76" i="10" a="1"/>
  <c r="U76" i="10" s="1"/>
  <c r="U77" i="10" a="1"/>
  <c r="U77" i="10" s="1"/>
  <c r="U78" i="10" a="1"/>
  <c r="U78" i="10" s="1"/>
  <c r="U79" i="10" a="1"/>
  <c r="U79" i="10" s="1"/>
  <c r="U80" i="10" a="1"/>
  <c r="U80" i="10" s="1"/>
  <c r="U81" i="10" a="1"/>
  <c r="U81" i="10" s="1"/>
  <c r="U82" i="10" a="1"/>
  <c r="U82" i="10" s="1"/>
  <c r="U83" i="10" a="1"/>
  <c r="U83" i="10" s="1"/>
  <c r="U84" i="10" a="1"/>
  <c r="U84" i="10" s="1"/>
  <c r="U85" i="10" a="1"/>
  <c r="U85" i="10" s="1"/>
  <c r="U86" i="10" a="1"/>
  <c r="U86" i="10" s="1"/>
  <c r="U87" i="10" a="1"/>
  <c r="U87" i="10" s="1"/>
  <c r="U88" i="10" a="1"/>
  <c r="U88" i="10" s="1"/>
  <c r="U89" i="10" a="1"/>
  <c r="U89" i="10" s="1"/>
  <c r="U90" i="10" a="1"/>
  <c r="U90" i="10" s="1"/>
  <c r="U91" i="10" a="1"/>
  <c r="U91" i="10" s="1"/>
  <c r="U92" i="10" a="1"/>
  <c r="U92" i="10" s="1"/>
  <c r="U93" i="10" a="1"/>
  <c r="U93" i="10" s="1"/>
  <c r="U94" i="10" a="1"/>
  <c r="U94" i="10" s="1"/>
  <c r="U95" i="10" a="1"/>
  <c r="U95" i="10" s="1"/>
  <c r="U96" i="10" a="1"/>
  <c r="U96" i="10" s="1"/>
  <c r="U97" i="10" a="1"/>
  <c r="U97" i="10" s="1"/>
  <c r="U98" i="10" a="1"/>
  <c r="U98" i="10" s="1"/>
  <c r="U99" i="10" a="1"/>
  <c r="U99" i="10" s="1"/>
  <c r="U100" i="10" a="1"/>
  <c r="U100" i="10" s="1"/>
  <c r="U101" i="10" a="1"/>
  <c r="U101" i="10" s="1"/>
  <c r="U102" i="10" a="1"/>
  <c r="U102" i="10" s="1"/>
  <c r="U103" i="10" a="1"/>
  <c r="U103" i="10" s="1"/>
  <c r="U104" i="10" a="1"/>
  <c r="U104" i="10" s="1"/>
  <c r="U105" i="10" a="1"/>
  <c r="U105" i="10" s="1"/>
  <c r="U106" i="10" a="1"/>
  <c r="U106" i="10" s="1"/>
  <c r="U107" i="10" a="1"/>
  <c r="U107" i="10" s="1"/>
  <c r="U108" i="10" a="1"/>
  <c r="U108" i="10" s="1"/>
  <c r="U109" i="10" a="1"/>
  <c r="U109" i="10" s="1"/>
  <c r="U110" i="10" a="1"/>
  <c r="U110" i="10" s="1"/>
  <c r="U111" i="10" a="1"/>
  <c r="U111" i="10" s="1"/>
  <c r="U112" i="10" a="1"/>
  <c r="U112" i="10" s="1"/>
  <c r="U113" i="10" a="1"/>
  <c r="U113" i="10" s="1"/>
  <c r="U114" i="10" a="1"/>
  <c r="U114" i="10" s="1"/>
  <c r="U115" i="10" a="1"/>
  <c r="U115" i="10" s="1"/>
  <c r="U116" i="10" a="1"/>
  <c r="U116" i="10" s="1"/>
  <c r="U117" i="10" a="1"/>
  <c r="U117" i="10" s="1"/>
  <c r="U118" i="10" a="1"/>
  <c r="U118" i="10" s="1"/>
  <c r="U119" i="10" a="1"/>
  <c r="U119" i="10" s="1"/>
  <c r="U120" i="10" a="1"/>
  <c r="U120" i="10" s="1"/>
  <c r="U121" i="10" a="1"/>
  <c r="U121" i="10" s="1"/>
  <c r="U122" i="10" a="1"/>
  <c r="U122" i="10" s="1"/>
  <c r="U123" i="10" a="1"/>
  <c r="U123" i="10" s="1"/>
  <c r="U124" i="10" a="1"/>
  <c r="U124" i="10" s="1"/>
  <c r="U125" i="10" a="1"/>
  <c r="U125" i="10" s="1"/>
  <c r="U126" i="10" a="1"/>
  <c r="U126" i="10" s="1"/>
  <c r="U127" i="10" a="1"/>
  <c r="U127" i="10" s="1"/>
  <c r="U128" i="10" a="1"/>
  <c r="U128" i="10" s="1"/>
  <c r="U129" i="10" a="1"/>
  <c r="U129" i="10" s="1"/>
  <c r="U130" i="10" a="1"/>
  <c r="U130" i="10" s="1"/>
  <c r="U131" i="10" a="1"/>
  <c r="U131" i="10" s="1"/>
  <c r="U132" i="10" a="1"/>
  <c r="U132" i="10" s="1"/>
  <c r="U133" i="10" a="1"/>
  <c r="U133" i="10" s="1"/>
  <c r="U134" i="10" a="1"/>
  <c r="U134" i="10" s="1"/>
  <c r="Q22" i="21" s="1"/>
  <c r="U135" i="10" a="1"/>
  <c r="U135" i="10" s="1"/>
  <c r="U136" i="10" a="1"/>
  <c r="U136" i="10" s="1"/>
  <c r="U137" i="10" a="1"/>
  <c r="U137" i="10" s="1"/>
  <c r="U138" i="10" a="1"/>
  <c r="U138" i="10" s="1"/>
  <c r="U139" i="10" a="1"/>
  <c r="U139" i="10" s="1"/>
  <c r="U140" i="10" a="1"/>
  <c r="U140" i="10" s="1"/>
  <c r="U141" i="10" a="1"/>
  <c r="U141" i="10" s="1"/>
  <c r="U142" i="10" a="1"/>
  <c r="U142" i="10" s="1"/>
  <c r="U143" i="10" a="1"/>
  <c r="U143" i="10" s="1"/>
  <c r="U144" i="10" a="1"/>
  <c r="U144" i="10" s="1"/>
  <c r="U145" i="10" a="1"/>
  <c r="U145" i="10" s="1"/>
  <c r="U146" i="10" a="1"/>
  <c r="U146" i="10" s="1"/>
  <c r="U147" i="10" a="1"/>
  <c r="U147" i="10" s="1"/>
  <c r="U148" i="10" a="1"/>
  <c r="U148" i="10" s="1"/>
  <c r="U149" i="10" a="1"/>
  <c r="U149" i="10" s="1"/>
  <c r="U150" i="10" a="1"/>
  <c r="U150" i="10" s="1"/>
  <c r="U151" i="10" a="1"/>
  <c r="U151" i="10" s="1"/>
  <c r="U152" i="10" a="1"/>
  <c r="U152" i="10" s="1"/>
  <c r="U153" i="10" a="1"/>
  <c r="U153" i="10" s="1"/>
  <c r="U154" i="10" a="1"/>
  <c r="U154" i="10" s="1"/>
  <c r="U155" i="10" a="1"/>
  <c r="U155" i="10" s="1"/>
  <c r="U156" i="10" a="1"/>
  <c r="U156" i="10" s="1"/>
  <c r="U157" i="10" a="1"/>
  <c r="U157" i="10" s="1"/>
  <c r="T3" i="10" a="1"/>
  <c r="T3" i="10" s="1"/>
  <c r="T4" i="10" a="1"/>
  <c r="T4" i="10" s="1"/>
  <c r="T5" i="10" a="1"/>
  <c r="T5" i="10" s="1"/>
  <c r="T6" i="10" a="1"/>
  <c r="T6" i="10" s="1"/>
  <c r="T7" i="10" a="1"/>
  <c r="T7" i="10" s="1"/>
  <c r="T8" i="10" a="1"/>
  <c r="T8" i="10" s="1"/>
  <c r="T9" i="10" a="1"/>
  <c r="T9" i="10" s="1"/>
  <c r="T10" i="10" a="1"/>
  <c r="T10" i="10" s="1"/>
  <c r="T11" i="10" a="1"/>
  <c r="T11" i="10" s="1"/>
  <c r="T12" i="10" a="1"/>
  <c r="T12" i="10" s="1"/>
  <c r="T13" i="10" a="1"/>
  <c r="T13" i="10" s="1"/>
  <c r="T14" i="10" a="1"/>
  <c r="T14" i="10" s="1"/>
  <c r="T15" i="10" a="1"/>
  <c r="T15" i="10" s="1"/>
  <c r="T16" i="10" a="1"/>
  <c r="T16" i="10" s="1"/>
  <c r="T17" i="10" a="1"/>
  <c r="T17" i="10" s="1"/>
  <c r="T18" i="10" a="1"/>
  <c r="T18" i="10" s="1"/>
  <c r="T19" i="10" a="1"/>
  <c r="T19" i="10" s="1"/>
  <c r="T20" i="10" a="1"/>
  <c r="T20" i="10" s="1"/>
  <c r="T21" i="10" a="1"/>
  <c r="T21" i="10" s="1"/>
  <c r="T22" i="10" a="1"/>
  <c r="T22" i="10" s="1"/>
  <c r="T23" i="10" a="1"/>
  <c r="T23" i="10" s="1"/>
  <c r="T24" i="10" a="1"/>
  <c r="T24" i="10" s="1"/>
  <c r="T25" i="10" a="1"/>
  <c r="T25" i="10" s="1"/>
  <c r="T26" i="10" a="1"/>
  <c r="T26" i="10" s="1"/>
  <c r="T27" i="10" a="1"/>
  <c r="T27" i="10" s="1"/>
  <c r="T28" i="10" a="1"/>
  <c r="T28" i="10" s="1"/>
  <c r="T29" i="10" a="1"/>
  <c r="T29" i="10" s="1"/>
  <c r="T30" i="10" a="1"/>
  <c r="T30" i="10" s="1"/>
  <c r="T31" i="10" a="1"/>
  <c r="T31" i="10" s="1"/>
  <c r="T32" i="10" a="1"/>
  <c r="T32" i="10" s="1"/>
  <c r="T33" i="10" a="1"/>
  <c r="T33" i="10" s="1"/>
  <c r="T34" i="10" a="1"/>
  <c r="T34" i="10" s="1"/>
  <c r="T35" i="10" a="1"/>
  <c r="T35" i="10" s="1"/>
  <c r="T36" i="10" a="1"/>
  <c r="T36" i="10" s="1"/>
  <c r="T37" i="10" a="1"/>
  <c r="T37" i="10" s="1"/>
  <c r="T38" i="10" a="1"/>
  <c r="T38" i="10" s="1"/>
  <c r="T39" i="10" a="1"/>
  <c r="T39" i="10" s="1"/>
  <c r="T40" i="10" a="1"/>
  <c r="T40" i="10" s="1"/>
  <c r="T41" i="10" a="1"/>
  <c r="T41" i="10" s="1"/>
  <c r="T42" i="10" a="1"/>
  <c r="T42" i="10" s="1"/>
  <c r="T43" i="10" a="1"/>
  <c r="T43" i="10" s="1"/>
  <c r="T44" i="10" a="1"/>
  <c r="T44" i="10" s="1"/>
  <c r="T45" i="10" a="1"/>
  <c r="T45" i="10" s="1"/>
  <c r="T46" i="10" a="1"/>
  <c r="T46" i="10" s="1"/>
  <c r="T47" i="10" a="1"/>
  <c r="T47" i="10" s="1"/>
  <c r="T48" i="10" a="1"/>
  <c r="T48" i="10" s="1"/>
  <c r="T49" i="10" a="1"/>
  <c r="T49" i="10" s="1"/>
  <c r="T50" i="10" a="1"/>
  <c r="T50" i="10" s="1"/>
  <c r="T51" i="10" a="1"/>
  <c r="T51" i="10" s="1"/>
  <c r="T52" i="10" a="1"/>
  <c r="T52" i="10" s="1"/>
  <c r="T53" i="10" a="1"/>
  <c r="T53" i="10" s="1"/>
  <c r="T54" i="10" a="1"/>
  <c r="T54" i="10" s="1"/>
  <c r="T55" i="10" a="1"/>
  <c r="T55" i="10" s="1"/>
  <c r="T56" i="10" a="1"/>
  <c r="T56" i="10" s="1"/>
  <c r="T57" i="10" a="1"/>
  <c r="T57" i="10" s="1"/>
  <c r="T58" i="10" a="1"/>
  <c r="T58" i="10" s="1"/>
  <c r="T59" i="10" a="1"/>
  <c r="T59" i="10" s="1"/>
  <c r="T60" i="10" a="1"/>
  <c r="T60" i="10" s="1"/>
  <c r="T61" i="10" a="1"/>
  <c r="T61" i="10" s="1"/>
  <c r="T62" i="10" a="1"/>
  <c r="T62" i="10" s="1"/>
  <c r="T63" i="10" a="1"/>
  <c r="T63" i="10" s="1"/>
  <c r="T64" i="10" a="1"/>
  <c r="T64" i="10" s="1"/>
  <c r="T65" i="10" a="1"/>
  <c r="T65" i="10" s="1"/>
  <c r="T66" i="10" a="1"/>
  <c r="T66" i="10" s="1"/>
  <c r="T67" i="10" a="1"/>
  <c r="T67" i="10" s="1"/>
  <c r="T68" i="10" a="1"/>
  <c r="T68" i="10" s="1"/>
  <c r="T69" i="10" a="1"/>
  <c r="T69" i="10" s="1"/>
  <c r="T70" i="10" a="1"/>
  <c r="T70" i="10" s="1"/>
  <c r="T71" i="10" a="1"/>
  <c r="T71" i="10" s="1"/>
  <c r="T72" i="10" a="1"/>
  <c r="T72" i="10" s="1"/>
  <c r="T73" i="10" a="1"/>
  <c r="T73" i="10" s="1"/>
  <c r="T74" i="10" a="1"/>
  <c r="T74" i="10" s="1"/>
  <c r="T75" i="10" a="1"/>
  <c r="T75" i="10" s="1"/>
  <c r="T76" i="10" a="1"/>
  <c r="T76" i="10" s="1"/>
  <c r="T77" i="10" a="1"/>
  <c r="T77" i="10" s="1"/>
  <c r="T78" i="10" a="1"/>
  <c r="T78" i="10" s="1"/>
  <c r="T79" i="10" a="1"/>
  <c r="T79" i="10" s="1"/>
  <c r="T80" i="10" a="1"/>
  <c r="T80" i="10" s="1"/>
  <c r="T81" i="10" a="1"/>
  <c r="T81" i="10" s="1"/>
  <c r="T82" i="10" a="1"/>
  <c r="T82" i="10" s="1"/>
  <c r="T83" i="10" a="1"/>
  <c r="T83" i="10" s="1"/>
  <c r="T84" i="10" a="1"/>
  <c r="T84" i="10" s="1"/>
  <c r="T85" i="10" a="1"/>
  <c r="T85" i="10" s="1"/>
  <c r="T86" i="10" a="1"/>
  <c r="T86" i="10" s="1"/>
  <c r="T87" i="10" a="1"/>
  <c r="T87" i="10" s="1"/>
  <c r="T88" i="10" a="1"/>
  <c r="T88" i="10" s="1"/>
  <c r="T89" i="10" a="1"/>
  <c r="T89" i="10" s="1"/>
  <c r="T90" i="10" a="1"/>
  <c r="T90" i="10" s="1"/>
  <c r="T91" i="10" a="1"/>
  <c r="T91" i="10" s="1"/>
  <c r="T92" i="10" a="1"/>
  <c r="T92" i="10" s="1"/>
  <c r="T93" i="10" a="1"/>
  <c r="T93" i="10" s="1"/>
  <c r="T94" i="10" a="1"/>
  <c r="T94" i="10" s="1"/>
  <c r="T95" i="10" a="1"/>
  <c r="T95" i="10" s="1"/>
  <c r="T96" i="10" a="1"/>
  <c r="T96" i="10" s="1"/>
  <c r="T97" i="10" a="1"/>
  <c r="T97" i="10" s="1"/>
  <c r="T98" i="10" a="1"/>
  <c r="T98" i="10" s="1"/>
  <c r="T99" i="10" a="1"/>
  <c r="T99" i="10" s="1"/>
  <c r="T100" i="10" a="1"/>
  <c r="T100" i="10" s="1"/>
  <c r="T101" i="10" a="1"/>
  <c r="T101" i="10" s="1"/>
  <c r="T102" i="10" a="1"/>
  <c r="T102" i="10" s="1"/>
  <c r="T103" i="10" a="1"/>
  <c r="T103" i="10" s="1"/>
  <c r="T104" i="10" a="1"/>
  <c r="T104" i="10" s="1"/>
  <c r="T105" i="10" a="1"/>
  <c r="T105" i="10" s="1"/>
  <c r="T106" i="10" a="1"/>
  <c r="T106" i="10" s="1"/>
  <c r="T107" i="10" a="1"/>
  <c r="T107" i="10" s="1"/>
  <c r="T108" i="10" a="1"/>
  <c r="T108" i="10" s="1"/>
  <c r="T109" i="10" a="1"/>
  <c r="T109" i="10" s="1"/>
  <c r="T110" i="10" a="1"/>
  <c r="T110" i="10" s="1"/>
  <c r="T111" i="10" a="1"/>
  <c r="T111" i="10" s="1"/>
  <c r="T112" i="10" a="1"/>
  <c r="T112" i="10" s="1"/>
  <c r="T113" i="10" a="1"/>
  <c r="T113" i="10" s="1"/>
  <c r="T114" i="10" a="1"/>
  <c r="T114" i="10" s="1"/>
  <c r="T115" i="10" a="1"/>
  <c r="T115" i="10" s="1"/>
  <c r="T116" i="10" a="1"/>
  <c r="T116" i="10" s="1"/>
  <c r="T117" i="10" a="1"/>
  <c r="T117" i="10" s="1"/>
  <c r="T118" i="10" a="1"/>
  <c r="T118" i="10" s="1"/>
  <c r="T119" i="10" a="1"/>
  <c r="T119" i="10" s="1"/>
  <c r="T120" i="10" a="1"/>
  <c r="T120" i="10" s="1"/>
  <c r="T121" i="10" a="1"/>
  <c r="T121" i="10" s="1"/>
  <c r="T122" i="10" a="1"/>
  <c r="T122" i="10" s="1"/>
  <c r="T123" i="10" a="1"/>
  <c r="T123" i="10" s="1"/>
  <c r="T124" i="10" a="1"/>
  <c r="T124" i="10" s="1"/>
  <c r="T125" i="10" a="1"/>
  <c r="T125" i="10" s="1"/>
  <c r="T126" i="10" a="1"/>
  <c r="T126" i="10" s="1"/>
  <c r="T127" i="10" a="1"/>
  <c r="T127" i="10" s="1"/>
  <c r="T128" i="10" a="1"/>
  <c r="T128" i="10" s="1"/>
  <c r="T129" i="10" a="1"/>
  <c r="T129" i="10" s="1"/>
  <c r="T130" i="10" a="1"/>
  <c r="T130" i="10" s="1"/>
  <c r="T131" i="10" a="1"/>
  <c r="T131" i="10" s="1"/>
  <c r="T132" i="10" a="1"/>
  <c r="T132" i="10" s="1"/>
  <c r="T133" i="10" a="1"/>
  <c r="T133" i="10" s="1"/>
  <c r="T134" i="10" a="1"/>
  <c r="T134" i="10" s="1"/>
  <c r="T135" i="10" a="1"/>
  <c r="T135" i="10" s="1"/>
  <c r="T136" i="10" a="1"/>
  <c r="T136" i="10" s="1"/>
  <c r="T137" i="10" a="1"/>
  <c r="T137" i="10" s="1"/>
  <c r="T138" i="10" a="1"/>
  <c r="T138" i="10" s="1"/>
  <c r="T139" i="10" a="1"/>
  <c r="T139" i="10" s="1"/>
  <c r="T140" i="10" a="1"/>
  <c r="T140" i="10" s="1"/>
  <c r="T141" i="10" a="1"/>
  <c r="T141" i="10" s="1"/>
  <c r="T142" i="10" a="1"/>
  <c r="T142" i="10" s="1"/>
  <c r="T143" i="10" a="1"/>
  <c r="T143" i="10" s="1"/>
  <c r="T144" i="10" a="1"/>
  <c r="T144" i="10" s="1"/>
  <c r="T145" i="10" a="1"/>
  <c r="T145" i="10" s="1"/>
  <c r="T146" i="10" a="1"/>
  <c r="T146" i="10" s="1"/>
  <c r="T147" i="10" a="1"/>
  <c r="T147" i="10" s="1"/>
  <c r="T148" i="10" a="1"/>
  <c r="T148" i="10" s="1"/>
  <c r="T149" i="10" a="1"/>
  <c r="T149" i="10" s="1"/>
  <c r="T150" i="10" a="1"/>
  <c r="T150" i="10" s="1"/>
  <c r="T151" i="10" a="1"/>
  <c r="T151" i="10" s="1"/>
  <c r="T152" i="10" a="1"/>
  <c r="T152" i="10" s="1"/>
  <c r="T153" i="10" a="1"/>
  <c r="T153" i="10" s="1"/>
  <c r="T154" i="10" a="1"/>
  <c r="T154" i="10" s="1"/>
  <c r="T155" i="10" a="1"/>
  <c r="T155" i="10" s="1"/>
  <c r="T156" i="10" a="1"/>
  <c r="T156" i="10" s="1"/>
  <c r="T157" i="10" a="1"/>
  <c r="T157" i="10" s="1"/>
  <c r="N27" i="21" s="1"/>
  <c r="T158" i="10" a="1"/>
  <c r="T158" i="10" s="1"/>
  <c r="T159" i="10" a="1"/>
  <c r="T159" i="10" s="1"/>
  <c r="T160" i="10" a="1"/>
  <c r="T160" i="10" s="1"/>
  <c r="T161" i="10" a="1"/>
  <c r="T161" i="10" s="1"/>
  <c r="T162" i="10" a="1"/>
  <c r="T162" i="10" s="1"/>
  <c r="T2" i="10" a="1"/>
  <c r="T2" i="10" s="1"/>
  <c r="S3" i="10" a="1"/>
  <c r="S3" i="10" s="1"/>
  <c r="S4" i="10" a="1"/>
  <c r="S4" i="10" s="1"/>
  <c r="S5" i="10" a="1"/>
  <c r="S5" i="10" s="1"/>
  <c r="S6" i="10" a="1"/>
  <c r="S6" i="10" s="1"/>
  <c r="S7" i="10" a="1"/>
  <c r="S7" i="10" s="1"/>
  <c r="S8" i="10" a="1"/>
  <c r="S8" i="10" s="1"/>
  <c r="S9" i="10" a="1"/>
  <c r="S9" i="10" s="1"/>
  <c r="S10" i="10" a="1"/>
  <c r="S10" i="10" s="1"/>
  <c r="S11" i="10" a="1"/>
  <c r="S11" i="10" s="1"/>
  <c r="S12" i="10" a="1"/>
  <c r="S12" i="10" s="1"/>
  <c r="S13" i="10" a="1"/>
  <c r="S13" i="10" s="1"/>
  <c r="S14" i="10" a="1"/>
  <c r="S14" i="10" s="1"/>
  <c r="S15" i="10" a="1"/>
  <c r="S15" i="10" s="1"/>
  <c r="S16" i="10" a="1"/>
  <c r="S16" i="10" s="1"/>
  <c r="S17" i="10" a="1"/>
  <c r="S17" i="10" s="1"/>
  <c r="S18" i="10" a="1"/>
  <c r="S18" i="10" s="1"/>
  <c r="S19" i="10" a="1"/>
  <c r="S19" i="10" s="1"/>
  <c r="S20" i="10" a="1"/>
  <c r="S20" i="10" s="1"/>
  <c r="S21" i="10" a="1"/>
  <c r="S21" i="10" s="1"/>
  <c r="S22" i="10" a="1"/>
  <c r="S22" i="10" s="1"/>
  <c r="S23" i="10" a="1"/>
  <c r="S23" i="10" s="1"/>
  <c r="S24" i="10" a="1"/>
  <c r="S24" i="10" s="1"/>
  <c r="S25" i="10" a="1"/>
  <c r="S25" i="10" s="1"/>
  <c r="S26" i="10" a="1"/>
  <c r="S26" i="10" s="1"/>
  <c r="S27" i="10" a="1"/>
  <c r="S27" i="10" s="1"/>
  <c r="S28" i="10" a="1"/>
  <c r="S28" i="10" s="1"/>
  <c r="S29" i="10" a="1"/>
  <c r="S29" i="10" s="1"/>
  <c r="S30" i="10" a="1"/>
  <c r="S30" i="10" s="1"/>
  <c r="S31" i="10" a="1"/>
  <c r="S31" i="10" s="1"/>
  <c r="S32" i="10" a="1"/>
  <c r="S32" i="10" s="1"/>
  <c r="S33" i="10" a="1"/>
  <c r="S33" i="10" s="1"/>
  <c r="S34" i="10" a="1"/>
  <c r="S34" i="10" s="1"/>
  <c r="S35" i="10" a="1"/>
  <c r="S35" i="10" s="1"/>
  <c r="S36" i="10" a="1"/>
  <c r="S36" i="10" s="1"/>
  <c r="S37" i="10" a="1"/>
  <c r="S37" i="10" s="1"/>
  <c r="S38" i="10" a="1"/>
  <c r="S38" i="10" s="1"/>
  <c r="S39" i="10" a="1"/>
  <c r="S39" i="10" s="1"/>
  <c r="S40" i="10" a="1"/>
  <c r="S40" i="10" s="1"/>
  <c r="S41" i="10" a="1"/>
  <c r="S41" i="10" s="1"/>
  <c r="S42" i="10" a="1"/>
  <c r="S42" i="10" s="1"/>
  <c r="S43" i="10" a="1"/>
  <c r="S43" i="10" s="1"/>
  <c r="S44" i="10" a="1"/>
  <c r="S44" i="10" s="1"/>
  <c r="S45" i="10" a="1"/>
  <c r="S45" i="10" s="1"/>
  <c r="S46" i="10" a="1"/>
  <c r="S46" i="10" s="1"/>
  <c r="S47" i="10" a="1"/>
  <c r="S47" i="10" s="1"/>
  <c r="S48" i="10" a="1"/>
  <c r="S48" i="10" s="1"/>
  <c r="S49" i="10" a="1"/>
  <c r="S49" i="10" s="1"/>
  <c r="S50" i="10" a="1"/>
  <c r="S50" i="10" s="1"/>
  <c r="S51" i="10" a="1"/>
  <c r="S51" i="10" s="1"/>
  <c r="S52" i="10" a="1"/>
  <c r="S52" i="10" s="1"/>
  <c r="S53" i="10" a="1"/>
  <c r="S53" i="10" s="1"/>
  <c r="S54" i="10" a="1"/>
  <c r="S54" i="10" s="1"/>
  <c r="S55" i="10" a="1"/>
  <c r="S55" i="10" s="1"/>
  <c r="S56" i="10" a="1"/>
  <c r="S56" i="10" s="1"/>
  <c r="S57" i="10" a="1"/>
  <c r="S57" i="10" s="1"/>
  <c r="S58" i="10" a="1"/>
  <c r="S58" i="10" s="1"/>
  <c r="S59" i="10" a="1"/>
  <c r="S59" i="10" s="1"/>
  <c r="S60" i="10" a="1"/>
  <c r="S60" i="10" s="1"/>
  <c r="S61" i="10" a="1"/>
  <c r="S61" i="10" s="1"/>
  <c r="S62" i="10" a="1"/>
  <c r="S62" i="10" s="1"/>
  <c r="S63" i="10" a="1"/>
  <c r="S63" i="10" s="1"/>
  <c r="S64" i="10" a="1"/>
  <c r="S64" i="10" s="1"/>
  <c r="S65" i="10" a="1"/>
  <c r="S65" i="10" s="1"/>
  <c r="S66" i="10" a="1"/>
  <c r="S66" i="10" s="1"/>
  <c r="S67" i="10" a="1"/>
  <c r="S67" i="10" s="1"/>
  <c r="S68" i="10" a="1"/>
  <c r="S68" i="10" s="1"/>
  <c r="S69" i="10" a="1"/>
  <c r="S69" i="10" s="1"/>
  <c r="S70" i="10" a="1"/>
  <c r="S70" i="10" s="1"/>
  <c r="S71" i="10" a="1"/>
  <c r="S71" i="10" s="1"/>
  <c r="S72" i="10" a="1"/>
  <c r="S72" i="10" s="1"/>
  <c r="S73" i="10" a="1"/>
  <c r="S73" i="10" s="1"/>
  <c r="S74" i="10" a="1"/>
  <c r="S74" i="10" s="1"/>
  <c r="S75" i="10" a="1"/>
  <c r="S75" i="10" s="1"/>
  <c r="S76" i="10" a="1"/>
  <c r="S76" i="10" s="1"/>
  <c r="S77" i="10" a="1"/>
  <c r="S77" i="10" s="1"/>
  <c r="S78" i="10" a="1"/>
  <c r="S78" i="10" s="1"/>
  <c r="S79" i="10" a="1"/>
  <c r="S79" i="10" s="1"/>
  <c r="S80" i="10" a="1"/>
  <c r="S80" i="10" s="1"/>
  <c r="S81" i="10" a="1"/>
  <c r="S81" i="10" s="1"/>
  <c r="S82" i="10" a="1"/>
  <c r="S82" i="10" s="1"/>
  <c r="S83" i="10" a="1"/>
  <c r="S83" i="10" s="1"/>
  <c r="S84" i="10" a="1"/>
  <c r="S84" i="10" s="1"/>
  <c r="S85" i="10" a="1"/>
  <c r="S85" i="10" s="1"/>
  <c r="S86" i="10" a="1"/>
  <c r="S86" i="10" s="1"/>
  <c r="S87" i="10" a="1"/>
  <c r="S87" i="10" s="1"/>
  <c r="S88" i="10" a="1"/>
  <c r="S88" i="10" s="1"/>
  <c r="S89" i="10" a="1"/>
  <c r="S89" i="10" s="1"/>
  <c r="S90" i="10" a="1"/>
  <c r="S90" i="10" s="1"/>
  <c r="S91" i="10" a="1"/>
  <c r="S91" i="10" s="1"/>
  <c r="S92" i="10" a="1"/>
  <c r="S92" i="10" s="1"/>
  <c r="S93" i="10" a="1"/>
  <c r="S93" i="10" s="1"/>
  <c r="S94" i="10" a="1"/>
  <c r="S94" i="10" s="1"/>
  <c r="S95" i="10" a="1"/>
  <c r="S95" i="10" s="1"/>
  <c r="S96" i="10" a="1"/>
  <c r="S96" i="10" s="1"/>
  <c r="S97" i="10" a="1"/>
  <c r="S97" i="10" s="1"/>
  <c r="S98" i="10" a="1"/>
  <c r="S98" i="10" s="1"/>
  <c r="S99" i="10" a="1"/>
  <c r="S99" i="10" s="1"/>
  <c r="S100" i="10" a="1"/>
  <c r="S100" i="10" s="1"/>
  <c r="S101" i="10" a="1"/>
  <c r="S101" i="10" s="1"/>
  <c r="S102" i="10" a="1"/>
  <c r="S102" i="10" s="1"/>
  <c r="S103" i="10" a="1"/>
  <c r="S103" i="10" s="1"/>
  <c r="S104" i="10" a="1"/>
  <c r="S104" i="10" s="1"/>
  <c r="S105" i="10" a="1"/>
  <c r="S105" i="10" s="1"/>
  <c r="S106" i="10" a="1"/>
  <c r="S106" i="10" s="1"/>
  <c r="S107" i="10" a="1"/>
  <c r="S107" i="10" s="1"/>
  <c r="S108" i="10" a="1"/>
  <c r="S108" i="10" s="1"/>
  <c r="S109" i="10" a="1"/>
  <c r="S109" i="10" s="1"/>
  <c r="S110" i="10" a="1"/>
  <c r="S110" i="10" s="1"/>
  <c r="S111" i="10" a="1"/>
  <c r="S111" i="10" s="1"/>
  <c r="S112" i="10" a="1"/>
  <c r="S112" i="10" s="1"/>
  <c r="S113" i="10" a="1"/>
  <c r="S113" i="10" s="1"/>
  <c r="S114" i="10" a="1"/>
  <c r="S114" i="10" s="1"/>
  <c r="S115" i="10" a="1"/>
  <c r="S115" i="10" s="1"/>
  <c r="S116" i="10" a="1"/>
  <c r="S116" i="10" s="1"/>
  <c r="S117" i="10" a="1"/>
  <c r="S117" i="10" s="1"/>
  <c r="S118" i="10" a="1"/>
  <c r="S118" i="10" s="1"/>
  <c r="S119" i="10" a="1"/>
  <c r="S119" i="10" s="1"/>
  <c r="S120" i="10" a="1"/>
  <c r="S120" i="10" s="1"/>
  <c r="S121" i="10" a="1"/>
  <c r="S121" i="10" s="1"/>
  <c r="S122" i="10" a="1"/>
  <c r="S122" i="10" s="1"/>
  <c r="S123" i="10" a="1"/>
  <c r="S123" i="10" s="1"/>
  <c r="S124" i="10" a="1"/>
  <c r="S124" i="10" s="1"/>
  <c r="S125" i="10" a="1"/>
  <c r="S125" i="10" s="1"/>
  <c r="S126" i="10" a="1"/>
  <c r="S126" i="10" s="1"/>
  <c r="S127" i="10" a="1"/>
  <c r="S127" i="10" s="1"/>
  <c r="S128" i="10" a="1"/>
  <c r="S128" i="10" s="1"/>
  <c r="S129" i="10" a="1"/>
  <c r="S129" i="10" s="1"/>
  <c r="S130" i="10" a="1"/>
  <c r="S130" i="10" s="1"/>
  <c r="S131" i="10" a="1"/>
  <c r="S131" i="10" s="1"/>
  <c r="S132" i="10" a="1"/>
  <c r="S132" i="10" s="1"/>
  <c r="S133" i="10" a="1"/>
  <c r="S133" i="10" s="1"/>
  <c r="S134" i="10" a="1"/>
  <c r="S134" i="10" s="1"/>
  <c r="S135" i="10" a="1"/>
  <c r="S135" i="10" s="1"/>
  <c r="S136" i="10" a="1"/>
  <c r="S136" i="10" s="1"/>
  <c r="S137" i="10" a="1"/>
  <c r="S137" i="10" s="1"/>
  <c r="S138" i="10" a="1"/>
  <c r="S138" i="10" s="1"/>
  <c r="S139" i="10" a="1"/>
  <c r="S139" i="10" s="1"/>
  <c r="S140" i="10" a="1"/>
  <c r="S140" i="10" s="1"/>
  <c r="S141" i="10" a="1"/>
  <c r="S141" i="10" s="1"/>
  <c r="S142" i="10" a="1"/>
  <c r="S142" i="10" s="1"/>
  <c r="S143" i="10" a="1"/>
  <c r="S143" i="10" s="1"/>
  <c r="S144" i="10" a="1"/>
  <c r="S144" i="10" s="1"/>
  <c r="S145" i="10" a="1"/>
  <c r="S145" i="10" s="1"/>
  <c r="S146" i="10" a="1"/>
  <c r="S146" i="10" s="1"/>
  <c r="S147" i="10" a="1"/>
  <c r="S147" i="10" s="1"/>
  <c r="S148" i="10" a="1"/>
  <c r="S148" i="10" s="1"/>
  <c r="S149" i="10" a="1"/>
  <c r="S149" i="10" s="1"/>
  <c r="S150" i="10" a="1"/>
  <c r="S150" i="10" s="1"/>
  <c r="S151" i="10" a="1"/>
  <c r="S151" i="10" s="1"/>
  <c r="S152" i="10" a="1"/>
  <c r="S152" i="10" s="1"/>
  <c r="S153" i="10" a="1"/>
  <c r="S153" i="10" s="1"/>
  <c r="S154" i="10" a="1"/>
  <c r="S154" i="10" s="1"/>
  <c r="S155" i="10" a="1"/>
  <c r="S155" i="10" s="1"/>
  <c r="S156" i="10" a="1"/>
  <c r="S156" i="10" s="1"/>
  <c r="S157" i="10" a="1"/>
  <c r="S157" i="10" s="1"/>
  <c r="S158" i="10" a="1"/>
  <c r="S158" i="10" s="1"/>
  <c r="S159" i="10" a="1"/>
  <c r="S159" i="10" s="1"/>
  <c r="S160" i="10" a="1"/>
  <c r="S160" i="10" s="1"/>
  <c r="S161" i="10" a="1"/>
  <c r="S161" i="10" s="1"/>
  <c r="S162" i="10" a="1"/>
  <c r="S162" i="10" s="1"/>
  <c r="S163" i="10" a="1"/>
  <c r="S163" i="10" s="1"/>
  <c r="K2" i="10" a="1"/>
  <c r="K2" i="10" s="1"/>
  <c r="K14" i="10" a="1"/>
  <c r="K14" i="10" s="1"/>
  <c r="H2" i="10"/>
  <c r="H3" i="10"/>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L99" i="10" a="1"/>
  <c r="L99" i="10" s="1"/>
  <c r="L100" i="10" a="1"/>
  <c r="L100" i="10" s="1"/>
  <c r="L101" i="10" a="1"/>
  <c r="L101" i="10" s="1"/>
  <c r="L102" i="10" a="1"/>
  <c r="L102" i="10" s="1"/>
  <c r="L103" i="10" a="1"/>
  <c r="L103" i="10" s="1"/>
  <c r="L104" i="10" a="1"/>
  <c r="L104" i="10" s="1"/>
  <c r="L105" i="10" a="1"/>
  <c r="L105" i="10" s="1"/>
  <c r="L106" i="10" a="1"/>
  <c r="L106" i="10" s="1"/>
  <c r="L107" i="10" a="1"/>
  <c r="L107" i="10" s="1"/>
  <c r="L108" i="10" a="1"/>
  <c r="L108" i="10" s="1"/>
  <c r="L109" i="10" a="1"/>
  <c r="L109" i="10" s="1"/>
  <c r="L110" i="10" a="1"/>
  <c r="L110" i="10" s="1"/>
  <c r="L111" i="10" a="1"/>
  <c r="L111" i="10" s="1"/>
  <c r="L112" i="10" a="1"/>
  <c r="L112" i="10" s="1"/>
  <c r="L113" i="10" a="1"/>
  <c r="L113" i="10" s="1"/>
  <c r="L114" i="10" a="1"/>
  <c r="L114" i="10" s="1"/>
  <c r="L115" i="10" a="1"/>
  <c r="L115" i="10" s="1"/>
  <c r="L116" i="10" a="1"/>
  <c r="L116" i="10" s="1"/>
  <c r="L117" i="10" a="1"/>
  <c r="L117" i="10" s="1"/>
  <c r="L118" i="10" a="1"/>
  <c r="L118" i="10" s="1"/>
  <c r="L119" i="10" a="1"/>
  <c r="L119" i="10" s="1"/>
  <c r="L120" i="10" a="1"/>
  <c r="L120" i="10" s="1"/>
  <c r="L121" i="10" a="1"/>
  <c r="L121" i="10" s="1"/>
  <c r="L122" i="10" a="1"/>
  <c r="L122" i="10" s="1"/>
  <c r="L123" i="10" a="1"/>
  <c r="L123" i="10" s="1"/>
  <c r="L124" i="10" a="1"/>
  <c r="L124" i="10" s="1"/>
  <c r="L125" i="10" a="1"/>
  <c r="L125" i="10" s="1"/>
  <c r="L126" i="10" a="1"/>
  <c r="L126" i="10" s="1"/>
  <c r="L127" i="10" a="1"/>
  <c r="L127" i="10" s="1"/>
  <c r="L128" i="10" a="1"/>
  <c r="L128" i="10" s="1"/>
  <c r="L129" i="10" a="1"/>
  <c r="L129" i="10" s="1"/>
  <c r="L130" i="10" a="1"/>
  <c r="L130" i="10" s="1"/>
  <c r="L131" i="10" a="1"/>
  <c r="L131" i="10" s="1"/>
  <c r="L132" i="10" a="1"/>
  <c r="L132" i="10" s="1"/>
  <c r="L133" i="10" a="1"/>
  <c r="L133" i="10" s="1"/>
  <c r="L134" i="10" a="1"/>
  <c r="L134" i="10" s="1"/>
  <c r="L135" i="10" a="1"/>
  <c r="L135" i="10" s="1"/>
  <c r="L136" i="10" a="1"/>
  <c r="L136" i="10" s="1"/>
  <c r="L137" i="10" a="1"/>
  <c r="L137" i="10" s="1"/>
  <c r="L138" i="10" a="1"/>
  <c r="L138" i="10" s="1"/>
  <c r="L139" i="10" a="1"/>
  <c r="L139" i="10" s="1"/>
  <c r="L140" i="10" a="1"/>
  <c r="L140" i="10" s="1"/>
  <c r="L141" i="10" a="1"/>
  <c r="L141" i="10" s="1"/>
  <c r="L142" i="10" a="1"/>
  <c r="L142" i="10" s="1"/>
  <c r="L143" i="10" a="1"/>
  <c r="L143" i="10" s="1"/>
  <c r="L144" i="10" a="1"/>
  <c r="L144" i="10" s="1"/>
  <c r="L145" i="10" a="1"/>
  <c r="L145" i="10" s="1"/>
  <c r="L146" i="10" a="1"/>
  <c r="L146" i="10" s="1"/>
  <c r="L147" i="10" a="1"/>
  <c r="L147" i="10" s="1"/>
  <c r="L148" i="10" a="1"/>
  <c r="L148" i="10" s="1"/>
  <c r="L149" i="10" a="1"/>
  <c r="L149" i="10" s="1"/>
  <c r="L150" i="10" a="1"/>
  <c r="L150" i="10" s="1"/>
  <c r="L151" i="10" a="1"/>
  <c r="L151" i="10" s="1"/>
  <c r="L152" i="10" a="1"/>
  <c r="L152" i="10" s="1"/>
  <c r="L153" i="10" a="1"/>
  <c r="L153" i="10" s="1"/>
  <c r="L154" i="10" a="1"/>
  <c r="L154" i="10" s="1"/>
  <c r="L155" i="10" a="1"/>
  <c r="L155" i="10" s="1"/>
  <c r="L156" i="10" a="1"/>
  <c r="L156" i="10" s="1"/>
  <c r="L157" i="10" a="1"/>
  <c r="L157" i="10" s="1"/>
  <c r="L158" i="10" a="1"/>
  <c r="L158" i="10" s="1"/>
  <c r="L159" i="10" a="1"/>
  <c r="L159" i="10" s="1"/>
  <c r="L160" i="10" a="1"/>
  <c r="L160" i="10" s="1"/>
  <c r="L161" i="10" a="1"/>
  <c r="L161" i="10" s="1"/>
  <c r="L162" i="10" a="1"/>
  <c r="L162" i="10" s="1"/>
  <c r="L163" i="10" a="1"/>
  <c r="L163" i="10" s="1"/>
  <c r="L164" i="10" a="1"/>
  <c r="L164" i="10" s="1"/>
  <c r="L73" i="10" a="1"/>
  <c r="L73" i="10" s="1"/>
  <c r="L74" i="10" a="1"/>
  <c r="L74" i="10" s="1"/>
  <c r="L75" i="10" a="1"/>
  <c r="L75" i="10" s="1"/>
  <c r="L76" i="10" a="1"/>
  <c r="L76" i="10" s="1"/>
  <c r="L77" i="10" a="1"/>
  <c r="L77" i="10" s="1"/>
  <c r="L78" i="10" a="1"/>
  <c r="L78" i="10" s="1"/>
  <c r="L79" i="10" a="1"/>
  <c r="L79" i="10" s="1"/>
  <c r="L80" i="10" a="1"/>
  <c r="L80" i="10" s="1"/>
  <c r="L81" i="10" a="1"/>
  <c r="L81" i="10" s="1"/>
  <c r="L82" i="10" a="1"/>
  <c r="L82" i="10" s="1"/>
  <c r="L83" i="10" a="1"/>
  <c r="L83" i="10" s="1"/>
  <c r="L84" i="10" a="1"/>
  <c r="L84" i="10" s="1"/>
  <c r="L85" i="10" a="1"/>
  <c r="L85" i="10" s="1"/>
  <c r="L86" i="10" a="1"/>
  <c r="L86" i="10" s="1"/>
  <c r="L87" i="10" a="1"/>
  <c r="L87" i="10" s="1"/>
  <c r="L88" i="10" a="1"/>
  <c r="L88" i="10" s="1"/>
  <c r="L89" i="10" a="1"/>
  <c r="L89" i="10" s="1"/>
  <c r="L90" i="10" a="1"/>
  <c r="L90" i="10" s="1"/>
  <c r="L91" i="10" a="1"/>
  <c r="L91" i="10" s="1"/>
  <c r="L92" i="10" a="1"/>
  <c r="L92" i="10" s="1"/>
  <c r="L93" i="10" a="1"/>
  <c r="L93" i="10" s="1"/>
  <c r="L94" i="10" a="1"/>
  <c r="L94" i="10" s="1"/>
  <c r="L95" i="10" a="1"/>
  <c r="L95" i="10" s="1"/>
  <c r="L96" i="10" a="1"/>
  <c r="L96" i="10" s="1"/>
  <c r="L97" i="10" a="1"/>
  <c r="L97" i="10" s="1"/>
  <c r="L98" i="10" a="1"/>
  <c r="L98" i="10" s="1"/>
  <c r="L63" i="10" a="1"/>
  <c r="L63" i="10" s="1"/>
  <c r="L64" i="10" a="1"/>
  <c r="L64" i="10" s="1"/>
  <c r="L65" i="10" a="1"/>
  <c r="L65" i="10" s="1"/>
  <c r="L66" i="10" a="1"/>
  <c r="L66" i="10" s="1"/>
  <c r="L67" i="10" a="1"/>
  <c r="L67" i="10" s="1"/>
  <c r="L68" i="10" a="1"/>
  <c r="L68" i="10" s="1"/>
  <c r="L69" i="10" a="1"/>
  <c r="L69" i="10" s="1"/>
  <c r="L70" i="10" a="1"/>
  <c r="L70" i="10" s="1"/>
  <c r="L71" i="10" a="1"/>
  <c r="L71" i="10" s="1"/>
  <c r="L72" i="10" a="1"/>
  <c r="L72" i="10" s="1"/>
  <c r="L53" i="10" a="1"/>
  <c r="L53" i="10" s="1"/>
  <c r="L54" i="10" a="1"/>
  <c r="L54" i="10" s="1"/>
  <c r="L55" i="10" a="1"/>
  <c r="L55" i="10" s="1"/>
  <c r="L56" i="10" a="1"/>
  <c r="L56" i="10" s="1"/>
  <c r="L57" i="10" a="1"/>
  <c r="L57" i="10" s="1"/>
  <c r="L58" i="10" a="1"/>
  <c r="L58" i="10" s="1"/>
  <c r="L59" i="10" a="1"/>
  <c r="L59" i="10" s="1"/>
  <c r="L60" i="10" a="1"/>
  <c r="L60" i="10" s="1"/>
  <c r="L61" i="10" a="1"/>
  <c r="L61" i="10" s="1"/>
  <c r="L62" i="10" a="1"/>
  <c r="L62" i="10" s="1"/>
  <c r="L43" i="10" a="1"/>
  <c r="L43" i="10" s="1"/>
  <c r="L44" i="10" a="1"/>
  <c r="L44" i="10" s="1"/>
  <c r="L45" i="10" a="1"/>
  <c r="L45" i="10" s="1"/>
  <c r="L46" i="10" a="1"/>
  <c r="L46" i="10" s="1"/>
  <c r="L47" i="10" a="1"/>
  <c r="L47" i="10" s="1"/>
  <c r="L48" i="10" a="1"/>
  <c r="L48" i="10" s="1"/>
  <c r="L49" i="10" a="1"/>
  <c r="L49" i="10" s="1"/>
  <c r="L50" i="10" a="1"/>
  <c r="L50" i="10" s="1"/>
  <c r="L51" i="10" a="1"/>
  <c r="L51" i="10" s="1"/>
  <c r="L52" i="10" a="1"/>
  <c r="L52" i="10" s="1"/>
  <c r="L38" i="10" a="1"/>
  <c r="L38" i="10" s="1"/>
  <c r="L39" i="10" a="1"/>
  <c r="L39" i="10" s="1"/>
  <c r="L40" i="10" a="1"/>
  <c r="L40" i="10" s="1"/>
  <c r="L41" i="10" a="1"/>
  <c r="L41" i="10" s="1"/>
  <c r="L42" i="10" a="1"/>
  <c r="L42" i="10" s="1"/>
  <c r="L32" i="10" a="1"/>
  <c r="L32" i="10" s="1"/>
  <c r="L33" i="10" a="1"/>
  <c r="L33" i="10" s="1"/>
  <c r="L34" i="10" a="1"/>
  <c r="L34" i="10" s="1"/>
  <c r="L35" i="10" a="1"/>
  <c r="L35" i="10" s="1"/>
  <c r="L36" i="10" a="1"/>
  <c r="L36" i="10" s="1"/>
  <c r="L37" i="10" a="1"/>
  <c r="L37" i="10" s="1"/>
  <c r="L3" i="10" a="1"/>
  <c r="L3" i="10" s="1"/>
  <c r="L4" i="10" a="1"/>
  <c r="L4" i="10" s="1"/>
  <c r="L5" i="10" a="1"/>
  <c r="L5" i="10" s="1"/>
  <c r="L6" i="10" a="1"/>
  <c r="L6" i="10" s="1"/>
  <c r="L7" i="10" a="1"/>
  <c r="L7" i="10" s="1"/>
  <c r="L8" i="10" a="1"/>
  <c r="L8" i="10" s="1"/>
  <c r="L9" i="10" a="1"/>
  <c r="L9" i="10" s="1"/>
  <c r="L10" i="10" a="1"/>
  <c r="L10" i="10" s="1"/>
  <c r="L11" i="10" a="1"/>
  <c r="L11" i="10" s="1"/>
  <c r="L12" i="10" a="1"/>
  <c r="L12" i="10" s="1"/>
  <c r="L13" i="10" a="1"/>
  <c r="L13" i="10" s="1"/>
  <c r="L15" i="10" a="1"/>
  <c r="L15" i="10" s="1"/>
  <c r="L16" i="10" a="1"/>
  <c r="L16" i="10" s="1"/>
  <c r="L17" i="10" a="1"/>
  <c r="L17" i="10" s="1"/>
  <c r="L18" i="10" a="1"/>
  <c r="L18" i="10" s="1"/>
  <c r="L19" i="10" a="1"/>
  <c r="L19" i="10" s="1"/>
  <c r="L20" i="10" a="1"/>
  <c r="L20" i="10" s="1"/>
  <c r="L21" i="10" a="1"/>
  <c r="L21" i="10" s="1"/>
  <c r="L22" i="10" a="1"/>
  <c r="L22" i="10" s="1"/>
  <c r="L23" i="10" a="1"/>
  <c r="L23" i="10" s="1"/>
  <c r="L24" i="10" a="1"/>
  <c r="L24" i="10" s="1"/>
  <c r="L25" i="10" a="1"/>
  <c r="L25" i="10" s="1"/>
  <c r="L26" i="10" a="1"/>
  <c r="L26" i="10" s="1"/>
  <c r="L27" i="10" a="1"/>
  <c r="L27" i="10" s="1"/>
  <c r="L28" i="10" a="1"/>
  <c r="L28" i="10" s="1"/>
  <c r="L29" i="10" a="1"/>
  <c r="L29" i="10" s="1"/>
  <c r="L30" i="10" a="1"/>
  <c r="L30" i="10" s="1"/>
  <c r="L31" i="10" a="1"/>
  <c r="L31" i="10" s="1"/>
  <c r="L2" i="10" a="1"/>
  <c r="L2" i="10" s="1"/>
  <c r="K3" i="10" a="1"/>
  <c r="K3" i="10" s="1"/>
  <c r="K4" i="10" a="1"/>
  <c r="K4" i="10" s="1"/>
  <c r="K5" i="10" a="1"/>
  <c r="K5" i="10" s="1"/>
  <c r="K6" i="10" a="1"/>
  <c r="K6" i="10" s="1"/>
  <c r="K7" i="10" a="1"/>
  <c r="K7" i="10" s="1"/>
  <c r="K8" i="10" a="1"/>
  <c r="K8" i="10" s="1"/>
  <c r="K9" i="10" a="1"/>
  <c r="K9" i="10" s="1"/>
  <c r="K10" i="10" a="1"/>
  <c r="K10" i="10" s="1"/>
  <c r="K11" i="10" a="1"/>
  <c r="K11" i="10" s="1"/>
  <c r="K12" i="10" a="1"/>
  <c r="K12" i="10" s="1"/>
  <c r="K13" i="10" a="1"/>
  <c r="K13" i="10" s="1"/>
  <c r="K15" i="10" a="1"/>
  <c r="K15" i="10" s="1"/>
  <c r="K16" i="10" a="1"/>
  <c r="K16" i="10" s="1"/>
  <c r="K17" i="10" a="1"/>
  <c r="K17" i="10" s="1"/>
  <c r="K18" i="10" a="1"/>
  <c r="K18" i="10" s="1"/>
  <c r="K19" i="10" a="1"/>
  <c r="K19" i="10" s="1"/>
  <c r="V25" i="12" s="1"/>
  <c r="K20" i="10" a="1"/>
  <c r="K20" i="10" s="1"/>
  <c r="K21" i="10" a="1"/>
  <c r="K21" i="10" s="1"/>
  <c r="K22" i="10" a="1"/>
  <c r="K22" i="10" s="1"/>
  <c r="K23" i="10" a="1"/>
  <c r="K23" i="10" s="1"/>
  <c r="K24" i="10" a="1"/>
  <c r="K24" i="10" s="1"/>
  <c r="K25" i="10" a="1"/>
  <c r="K25" i="10" s="1"/>
  <c r="K26" i="10" a="1"/>
  <c r="K26" i="10" s="1"/>
  <c r="K27" i="10" a="1"/>
  <c r="K27" i="10" s="1"/>
  <c r="K28" i="10" a="1"/>
  <c r="K28" i="10" s="1"/>
  <c r="K29" i="10" a="1"/>
  <c r="K29" i="10" s="1"/>
  <c r="K30" i="10" a="1"/>
  <c r="K30" i="10" s="1"/>
  <c r="K31" i="10" a="1"/>
  <c r="K31" i="10" s="1"/>
  <c r="K32" i="10" a="1"/>
  <c r="K32" i="10" s="1"/>
  <c r="K33" i="10" a="1"/>
  <c r="K33" i="10" s="1"/>
  <c r="K34" i="10" a="1"/>
  <c r="K34" i="10" s="1"/>
  <c r="K35" i="10" a="1"/>
  <c r="K35" i="10" s="1"/>
  <c r="K36" i="10" a="1"/>
  <c r="K36" i="10" s="1"/>
  <c r="K37" i="10" a="1"/>
  <c r="K37" i="10" s="1"/>
  <c r="K38" i="10" a="1"/>
  <c r="K38" i="10" s="1"/>
  <c r="K39" i="10" a="1"/>
  <c r="K39" i="10" s="1"/>
  <c r="K40" i="10" a="1"/>
  <c r="K40" i="10" s="1"/>
  <c r="K41" i="10" a="1"/>
  <c r="K41" i="10" s="1"/>
  <c r="K42" i="10" a="1"/>
  <c r="K42" i="10" s="1"/>
  <c r="K43" i="10" a="1"/>
  <c r="K43" i="10" s="1"/>
  <c r="K44" i="10" a="1"/>
  <c r="K44" i="10" s="1"/>
  <c r="K45" i="10" a="1"/>
  <c r="K45" i="10" s="1"/>
  <c r="K46" i="10" a="1"/>
  <c r="K46" i="10" s="1"/>
  <c r="K47" i="10" a="1"/>
  <c r="K47" i="10" s="1"/>
  <c r="K48" i="10" a="1"/>
  <c r="K48" i="10" s="1"/>
  <c r="K49" i="10" a="1"/>
  <c r="K49" i="10" s="1"/>
  <c r="K50" i="10" a="1"/>
  <c r="K50" i="10" s="1"/>
  <c r="K51" i="10" a="1"/>
  <c r="K51" i="10" s="1"/>
  <c r="K52" i="10" a="1"/>
  <c r="K52" i="10" s="1"/>
  <c r="K53" i="10" a="1"/>
  <c r="K53" i="10" s="1"/>
  <c r="K54" i="10" a="1"/>
  <c r="K54" i="10" s="1"/>
  <c r="K55" i="10" a="1"/>
  <c r="K55" i="10" s="1"/>
  <c r="K56" i="10" a="1"/>
  <c r="K56" i="10" s="1"/>
  <c r="K57" i="10" a="1"/>
  <c r="K57" i="10" s="1"/>
  <c r="K58" i="10" a="1"/>
  <c r="K58" i="10" s="1"/>
  <c r="K59" i="10" a="1"/>
  <c r="K59" i="10" s="1"/>
  <c r="K60" i="10" a="1"/>
  <c r="K60" i="10" s="1"/>
  <c r="K61" i="10" a="1"/>
  <c r="K61" i="10" s="1"/>
  <c r="K62" i="10" a="1"/>
  <c r="K62" i="10" s="1"/>
  <c r="K63" i="10" a="1"/>
  <c r="K63" i="10" s="1"/>
  <c r="K64" i="10" a="1"/>
  <c r="K64" i="10" s="1"/>
  <c r="K65" i="10" a="1"/>
  <c r="K65" i="10" s="1"/>
  <c r="K66" i="10" a="1"/>
  <c r="K66" i="10" s="1"/>
  <c r="K67" i="10" a="1"/>
  <c r="K67" i="10" s="1"/>
  <c r="K68" i="10" a="1"/>
  <c r="K68" i="10" s="1"/>
  <c r="K69" i="10" a="1"/>
  <c r="K69" i="10" s="1"/>
  <c r="K70" i="10" a="1"/>
  <c r="K70" i="10" s="1"/>
  <c r="K71" i="10" a="1"/>
  <c r="K71" i="10" s="1"/>
  <c r="K72" i="10" a="1"/>
  <c r="K72" i="10" s="1"/>
  <c r="K73" i="10" a="1"/>
  <c r="K73" i="10" s="1"/>
  <c r="K74" i="10" a="1"/>
  <c r="K74" i="10" s="1"/>
  <c r="K75" i="10" a="1"/>
  <c r="K75" i="10" s="1"/>
  <c r="K76" i="10" a="1"/>
  <c r="K76" i="10" s="1"/>
  <c r="K77" i="10" a="1"/>
  <c r="K77" i="10" s="1"/>
  <c r="K78" i="10" a="1"/>
  <c r="K78" i="10" s="1"/>
  <c r="K79" i="10" a="1"/>
  <c r="K79" i="10" s="1"/>
  <c r="K80" i="10" a="1"/>
  <c r="K80" i="10" s="1"/>
  <c r="K81" i="10" a="1"/>
  <c r="K81" i="10" s="1"/>
  <c r="K82" i="10" a="1"/>
  <c r="K82" i="10" s="1"/>
  <c r="K83" i="10" a="1"/>
  <c r="K83" i="10" s="1"/>
  <c r="K84" i="10" a="1"/>
  <c r="K84" i="10" s="1"/>
  <c r="K85" i="10" a="1"/>
  <c r="K85" i="10" s="1"/>
  <c r="K86" i="10" a="1"/>
  <c r="K86" i="10" s="1"/>
  <c r="K87" i="10" a="1"/>
  <c r="K87" i="10" s="1"/>
  <c r="K88" i="10" a="1"/>
  <c r="K88" i="10" s="1"/>
  <c r="K89" i="10" a="1"/>
  <c r="K89" i="10" s="1"/>
  <c r="K90" i="10" a="1"/>
  <c r="K90" i="10" s="1"/>
  <c r="K91" i="10" a="1"/>
  <c r="K91" i="10" s="1"/>
  <c r="K92" i="10" a="1"/>
  <c r="K92" i="10" s="1"/>
  <c r="K93" i="10" a="1"/>
  <c r="K93" i="10" s="1"/>
  <c r="K94" i="10" a="1"/>
  <c r="K94" i="10" s="1"/>
  <c r="K95" i="10" a="1"/>
  <c r="K95" i="10" s="1"/>
  <c r="K96" i="10" a="1"/>
  <c r="K96" i="10" s="1"/>
  <c r="K97" i="10" a="1"/>
  <c r="K97" i="10" s="1"/>
  <c r="K98" i="10" a="1"/>
  <c r="K98" i="10" s="1"/>
  <c r="K99" i="10" a="1"/>
  <c r="K99" i="10" s="1"/>
  <c r="K100" i="10" a="1"/>
  <c r="K100" i="10" s="1"/>
  <c r="K101" i="10" a="1"/>
  <c r="K101" i="10" s="1"/>
  <c r="K102" i="10" a="1"/>
  <c r="K102" i="10" s="1"/>
  <c r="K103" i="10" a="1"/>
  <c r="K103" i="10" s="1"/>
  <c r="K104" i="10" a="1"/>
  <c r="K104" i="10" s="1"/>
  <c r="K105" i="10" a="1"/>
  <c r="K105" i="10" s="1"/>
  <c r="K106" i="10" a="1"/>
  <c r="K106" i="10" s="1"/>
  <c r="K107" i="10" a="1"/>
  <c r="K107" i="10" s="1"/>
  <c r="K108" i="10" a="1"/>
  <c r="K108" i="10" s="1"/>
  <c r="K109" i="10" a="1"/>
  <c r="K109" i="10" s="1"/>
  <c r="K110" i="10" a="1"/>
  <c r="K110" i="10" s="1"/>
  <c r="K111" i="10" a="1"/>
  <c r="K111" i="10" s="1"/>
  <c r="K112" i="10" a="1"/>
  <c r="K112" i="10" s="1"/>
  <c r="K113" i="10" a="1"/>
  <c r="K113" i="10" s="1"/>
  <c r="K114" i="10" a="1"/>
  <c r="K114" i="10" s="1"/>
  <c r="K115" i="10" a="1"/>
  <c r="K115" i="10" s="1"/>
  <c r="K116" i="10" a="1"/>
  <c r="K116" i="10" s="1"/>
  <c r="K117" i="10" a="1"/>
  <c r="K117" i="10" s="1"/>
  <c r="K118" i="10" a="1"/>
  <c r="K118" i="10" s="1"/>
  <c r="K119" i="10" a="1"/>
  <c r="K119" i="10" s="1"/>
  <c r="K120" i="10" a="1"/>
  <c r="K120" i="10" s="1"/>
  <c r="K121" i="10" a="1"/>
  <c r="K121" i="10" s="1"/>
  <c r="K122" i="10" a="1"/>
  <c r="K122" i="10" s="1"/>
  <c r="K123" i="10" a="1"/>
  <c r="K123" i="10" s="1"/>
  <c r="K124" i="10" a="1"/>
  <c r="K124" i="10" s="1"/>
  <c r="K125" i="10" a="1"/>
  <c r="K125" i="10" s="1"/>
  <c r="K126" i="10" a="1"/>
  <c r="K126" i="10" s="1"/>
  <c r="K127" i="10" a="1"/>
  <c r="K127" i="10" s="1"/>
  <c r="K128" i="10" a="1"/>
  <c r="K128" i="10" s="1"/>
  <c r="K129" i="10" a="1"/>
  <c r="K129" i="10" s="1"/>
  <c r="K130" i="10" a="1"/>
  <c r="K130" i="10" s="1"/>
  <c r="K131" i="10" a="1"/>
  <c r="K131" i="10" s="1"/>
  <c r="K132" i="10" a="1"/>
  <c r="K132" i="10" s="1"/>
  <c r="K133" i="10" a="1"/>
  <c r="K133" i="10" s="1"/>
  <c r="K134" i="10" a="1"/>
  <c r="K134" i="10" s="1"/>
  <c r="K135" i="10" a="1"/>
  <c r="K135" i="10" s="1"/>
  <c r="K136" i="10" a="1"/>
  <c r="K136" i="10" s="1"/>
  <c r="K137" i="10" a="1"/>
  <c r="K137" i="10" s="1"/>
  <c r="K138" i="10" a="1"/>
  <c r="K138" i="10" s="1"/>
  <c r="K139" i="10" a="1"/>
  <c r="K139" i="10" s="1"/>
  <c r="K140" i="10" a="1"/>
  <c r="K140" i="10" s="1"/>
  <c r="K141" i="10" a="1"/>
  <c r="K141" i="10" s="1"/>
  <c r="K142" i="10" a="1"/>
  <c r="K142" i="10" s="1"/>
  <c r="K143" i="10" a="1"/>
  <c r="K143" i="10" s="1"/>
  <c r="K144" i="10" a="1"/>
  <c r="K144" i="10" s="1"/>
  <c r="K145" i="10" a="1"/>
  <c r="K145" i="10" s="1"/>
  <c r="K146" i="10" a="1"/>
  <c r="K146" i="10" s="1"/>
  <c r="K147" i="10" a="1"/>
  <c r="K147" i="10" s="1"/>
  <c r="K148" i="10" a="1"/>
  <c r="K148" i="10" s="1"/>
  <c r="K149" i="10" a="1"/>
  <c r="K149" i="10" s="1"/>
  <c r="K150" i="10" a="1"/>
  <c r="K150" i="10" s="1"/>
  <c r="K151" i="10" a="1"/>
  <c r="K151" i="10" s="1"/>
  <c r="K152" i="10" a="1"/>
  <c r="K152" i="10" s="1"/>
  <c r="K153" i="10" a="1"/>
  <c r="K153" i="10" s="1"/>
  <c r="K154" i="10" a="1"/>
  <c r="K154" i="10" s="1"/>
  <c r="K155" i="10" a="1"/>
  <c r="K155" i="10" s="1"/>
  <c r="K156" i="10" a="1"/>
  <c r="K156" i="10" s="1"/>
  <c r="K157" i="10" a="1"/>
  <c r="K157" i="10" s="1"/>
  <c r="K158" i="10" a="1"/>
  <c r="K158" i="10" s="1"/>
  <c r="K159" i="10" a="1"/>
  <c r="K159" i="10" s="1"/>
  <c r="K160" i="10" a="1"/>
  <c r="K160" i="10" s="1"/>
  <c r="K161" i="10" a="1"/>
  <c r="K161" i="10" s="1"/>
  <c r="K162" i="10" a="1"/>
  <c r="K162" i="10" s="1"/>
  <c r="K163" i="10" a="1"/>
  <c r="K163" i="10" s="1"/>
  <c r="K164" i="10" a="1"/>
  <c r="K164" i="10" s="1"/>
  <c r="E155" i="10"/>
  <c r="E156" i="10"/>
  <c r="E157" i="10"/>
  <c r="E158" i="10"/>
  <c r="E159" i="10"/>
  <c r="E160" i="10"/>
  <c r="E161" i="10"/>
  <c r="E162" i="10"/>
  <c r="E163" i="10"/>
  <c r="E164" i="10"/>
  <c r="D155" i="10"/>
  <c r="D156" i="10"/>
  <c r="D157" i="10"/>
  <c r="D158" i="10"/>
  <c r="D159" i="10"/>
  <c r="D160" i="10"/>
  <c r="D161" i="10"/>
  <c r="D162" i="10"/>
  <c r="D163" i="10"/>
  <c r="D164" i="10"/>
  <c r="E125" i="10"/>
  <c r="D125" i="10"/>
  <c r="E124" i="10"/>
  <c r="D124" i="10"/>
  <c r="E115" i="10"/>
  <c r="D115" i="10"/>
  <c r="D110" i="10"/>
  <c r="D83" i="10"/>
  <c r="E83" i="10"/>
  <c r="D84" i="10"/>
  <c r="E84" i="10"/>
  <c r="E82" i="10"/>
  <c r="D82" i="10"/>
  <c r="E81" i="10"/>
  <c r="D81" i="10"/>
  <c r="E77" i="10"/>
  <c r="D77" i="10"/>
  <c r="D2" i="10"/>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8" i="10"/>
  <c r="E79" i="10"/>
  <c r="E80"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6" i="10"/>
  <c r="E117" i="10"/>
  <c r="E118" i="10"/>
  <c r="E119" i="10"/>
  <c r="E120" i="10"/>
  <c r="E121" i="10"/>
  <c r="E122" i="10"/>
  <c r="E123"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2" i="10"/>
  <c r="D3" i="10"/>
  <c r="D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8" i="10"/>
  <c r="D79" i="10"/>
  <c r="D80" i="10"/>
  <c r="D85" i="10"/>
  <c r="D86" i="10"/>
  <c r="D87" i="10"/>
  <c r="D88" i="10"/>
  <c r="D89" i="10"/>
  <c r="D90" i="10"/>
  <c r="D91" i="10"/>
  <c r="D92" i="10"/>
  <c r="D93" i="10"/>
  <c r="D94" i="10"/>
  <c r="D95" i="10"/>
  <c r="D96" i="10"/>
  <c r="D97" i="10"/>
  <c r="D98" i="10"/>
  <c r="D99" i="10"/>
  <c r="D100" i="10"/>
  <c r="D101" i="10"/>
  <c r="D102" i="10"/>
  <c r="D103" i="10"/>
  <c r="D104" i="10"/>
  <c r="D105" i="10"/>
  <c r="D106" i="10"/>
  <c r="D107" i="10"/>
  <c r="D108" i="10"/>
  <c r="D109" i="10"/>
  <c r="D111" i="10"/>
  <c r="D112" i="10"/>
  <c r="D113" i="10"/>
  <c r="D114" i="10"/>
  <c r="D116" i="10"/>
  <c r="D117" i="10"/>
  <c r="D118" i="10"/>
  <c r="D119" i="10"/>
  <c r="D120" i="10"/>
  <c r="D121" i="10"/>
  <c r="D122" i="10"/>
  <c r="D123"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AF6" i="21" l="1"/>
  <c r="AF7" i="21"/>
  <c r="AF9" i="21"/>
  <c r="AF5" i="21"/>
  <c r="AF8" i="21"/>
  <c r="AF4" i="21"/>
  <c r="AD3" i="21"/>
  <c r="AF3" i="21"/>
  <c r="W20" i="21"/>
  <c r="S22" i="21"/>
  <c r="X13" i="21"/>
  <c r="X12" i="21"/>
  <c r="AK5" i="21"/>
  <c r="AK2" i="21"/>
  <c r="AJ5" i="21"/>
  <c r="AJ2" i="21"/>
  <c r="AK6" i="21"/>
  <c r="AK3" i="21"/>
  <c r="AJ6" i="21"/>
  <c r="AL6" i="21" s="1"/>
  <c r="AJ3" i="21"/>
  <c r="V15" i="21"/>
  <c r="R6" i="21"/>
  <c r="T22" i="21"/>
  <c r="W14" i="21"/>
  <c r="U22" i="21"/>
  <c r="W26" i="21"/>
  <c r="W3" i="21"/>
  <c r="W18" i="21"/>
  <c r="W4" i="21"/>
  <c r="W6" i="21"/>
  <c r="W21" i="21"/>
  <c r="W10" i="21"/>
  <c r="W9" i="21"/>
  <c r="W12" i="21"/>
  <c r="W13" i="21"/>
  <c r="W19" i="21"/>
  <c r="W5" i="21"/>
  <c r="W22" i="21"/>
  <c r="W25" i="21"/>
  <c r="U10" i="21"/>
  <c r="U6" i="21"/>
  <c r="U14" i="21"/>
  <c r="U12" i="21"/>
  <c r="U13" i="21"/>
  <c r="U19" i="21"/>
  <c r="U5" i="21"/>
  <c r="T10" i="21"/>
  <c r="T6" i="21"/>
  <c r="T12" i="21"/>
  <c r="T13" i="21"/>
  <c r="T19" i="21"/>
  <c r="T5" i="21"/>
  <c r="T24" i="21"/>
  <c r="S10" i="21"/>
  <c r="S6" i="21"/>
  <c r="S12" i="21"/>
  <c r="S13" i="21"/>
  <c r="S19" i="21"/>
  <c r="S5" i="21"/>
  <c r="R10" i="21"/>
  <c r="R12" i="21"/>
  <c r="R13" i="21"/>
  <c r="R19" i="21"/>
  <c r="R5" i="21"/>
  <c r="Q10" i="21"/>
  <c r="Q6" i="21"/>
  <c r="Q12" i="21"/>
  <c r="Q26" i="21"/>
  <c r="Q27" i="21"/>
  <c r="Q13" i="21"/>
  <c r="Q19" i="21"/>
  <c r="Q5" i="21"/>
  <c r="N10" i="21"/>
  <c r="N6" i="21"/>
  <c r="N12" i="21"/>
  <c r="N13" i="21"/>
  <c r="N19" i="21"/>
  <c r="N5" i="21"/>
  <c r="N22" i="21"/>
  <c r="O10" i="21"/>
  <c r="O6" i="21"/>
  <c r="O12" i="21"/>
  <c r="O13" i="21"/>
  <c r="O19" i="21"/>
  <c r="O5" i="21"/>
  <c r="O22" i="21"/>
  <c r="X6" i="21"/>
  <c r="S26" i="21"/>
  <c r="O24" i="21"/>
  <c r="X9" i="21"/>
  <c r="O26" i="21"/>
  <c r="W28" i="21"/>
  <c r="U28" i="21"/>
  <c r="T28" i="21"/>
  <c r="S28" i="21"/>
  <c r="X3" i="21"/>
  <c r="X14" i="21"/>
  <c r="O25" i="21"/>
  <c r="X4" i="21"/>
  <c r="X2" i="21"/>
  <c r="X5" i="21"/>
  <c r="U25" i="21"/>
  <c r="R26" i="21"/>
  <c r="N26" i="21"/>
  <c r="P26" i="21" s="1"/>
  <c r="W23" i="15"/>
  <c r="W24" i="15"/>
  <c r="U26" i="21"/>
  <c r="R25" i="21"/>
  <c r="X10" i="21"/>
  <c r="X8" i="21"/>
  <c r="W24" i="21"/>
  <c r="W24" i="12"/>
  <c r="W8" i="12"/>
  <c r="W8" i="15"/>
  <c r="W8" i="21"/>
  <c r="W2" i="15"/>
  <c r="W2" i="12"/>
  <c r="W2" i="21"/>
  <c r="W23" i="21"/>
  <c r="W23" i="12"/>
  <c r="W30" i="21"/>
  <c r="W30" i="12"/>
  <c r="W30" i="15"/>
  <c r="U26" i="15"/>
  <c r="U26" i="12"/>
  <c r="U18" i="21"/>
  <c r="U18" i="15"/>
  <c r="U18" i="12"/>
  <c r="U21" i="15"/>
  <c r="U21" i="21"/>
  <c r="U21" i="12"/>
  <c r="U20" i="12"/>
  <c r="U20" i="21"/>
  <c r="U20" i="15"/>
  <c r="U4" i="21"/>
  <c r="U4" i="15"/>
  <c r="U4" i="12"/>
  <c r="U3" i="21"/>
  <c r="U3" i="15"/>
  <c r="U3" i="12"/>
  <c r="U9" i="15"/>
  <c r="U9" i="21"/>
  <c r="U9" i="12"/>
  <c r="U24" i="21"/>
  <c r="U24" i="12"/>
  <c r="U24" i="15"/>
  <c r="U8" i="12"/>
  <c r="U8" i="15"/>
  <c r="U8" i="21"/>
  <c r="U2" i="15"/>
  <c r="U2" i="12"/>
  <c r="U2" i="21"/>
  <c r="U15" i="21" s="1"/>
  <c r="U23" i="21"/>
  <c r="U23" i="15"/>
  <c r="U23" i="12"/>
  <c r="U30" i="21"/>
  <c r="U30" i="15"/>
  <c r="U30" i="12"/>
  <c r="T26" i="21"/>
  <c r="T26" i="12"/>
  <c r="T26" i="15"/>
  <c r="T18" i="15"/>
  <c r="T18" i="21"/>
  <c r="T18" i="12"/>
  <c r="T21" i="21"/>
  <c r="T21" i="15"/>
  <c r="T21" i="12"/>
  <c r="T20" i="12"/>
  <c r="T20" i="21"/>
  <c r="T20" i="15"/>
  <c r="T4" i="15"/>
  <c r="T4" i="21"/>
  <c r="T4" i="12"/>
  <c r="T3" i="12"/>
  <c r="T3" i="15"/>
  <c r="T3" i="21"/>
  <c r="T9" i="15"/>
  <c r="T9" i="12"/>
  <c r="T9" i="21"/>
  <c r="T14" i="15"/>
  <c r="T14" i="12"/>
  <c r="T14" i="21"/>
  <c r="T24" i="12"/>
  <c r="T24" i="15"/>
  <c r="T8" i="15"/>
  <c r="T8" i="21"/>
  <c r="T8" i="12"/>
  <c r="T2" i="21"/>
  <c r="T2" i="12"/>
  <c r="T2" i="15"/>
  <c r="T23" i="21"/>
  <c r="T23" i="15"/>
  <c r="T23" i="12"/>
  <c r="T30" i="21"/>
  <c r="T30" i="15"/>
  <c r="T30" i="12"/>
  <c r="T25" i="21"/>
  <c r="T25" i="12"/>
  <c r="T25" i="15"/>
  <c r="S26" i="15"/>
  <c r="S26" i="12"/>
  <c r="S18" i="21"/>
  <c r="S18" i="12"/>
  <c r="S18" i="15"/>
  <c r="S21" i="12"/>
  <c r="S21" i="21"/>
  <c r="S21" i="15"/>
  <c r="S20" i="21"/>
  <c r="S20" i="15"/>
  <c r="S20" i="12"/>
  <c r="S4" i="21"/>
  <c r="S4" i="12"/>
  <c r="S3" i="21"/>
  <c r="S3" i="12"/>
  <c r="S3" i="15"/>
  <c r="S9" i="15"/>
  <c r="S9" i="21"/>
  <c r="S9" i="12"/>
  <c r="S14" i="15"/>
  <c r="S14" i="12"/>
  <c r="S14" i="21"/>
  <c r="S24" i="21"/>
  <c r="S24" i="15"/>
  <c r="S24" i="12"/>
  <c r="S8" i="21"/>
  <c r="S8" i="12"/>
  <c r="S8" i="15"/>
  <c r="S2" i="21"/>
  <c r="S2" i="12"/>
  <c r="S23" i="21"/>
  <c r="S23" i="15"/>
  <c r="S23" i="12"/>
  <c r="S30" i="21"/>
  <c r="S30" i="15"/>
  <c r="S30" i="12"/>
  <c r="S25" i="21"/>
  <c r="S25" i="12"/>
  <c r="S25" i="15"/>
  <c r="R26" i="12"/>
  <c r="R26" i="15"/>
  <c r="R18" i="21"/>
  <c r="R18" i="12"/>
  <c r="R18" i="15"/>
  <c r="R21" i="21"/>
  <c r="R21" i="15"/>
  <c r="R21" i="12"/>
  <c r="R20" i="12"/>
  <c r="R20" i="15"/>
  <c r="R20" i="21"/>
  <c r="R4" i="21"/>
  <c r="R4" i="12"/>
  <c r="R3" i="21"/>
  <c r="R3" i="12"/>
  <c r="R9" i="12"/>
  <c r="R9" i="21"/>
  <c r="R14" i="15"/>
  <c r="R14" i="12"/>
  <c r="R14" i="21"/>
  <c r="R24" i="12"/>
  <c r="R24" i="15"/>
  <c r="R24" i="21"/>
  <c r="R8" i="21"/>
  <c r="R8" i="15"/>
  <c r="R8" i="12"/>
  <c r="R2" i="15"/>
  <c r="R2" i="21"/>
  <c r="R15" i="21" s="1"/>
  <c r="R2" i="12"/>
  <c r="R23" i="15"/>
  <c r="R23" i="12"/>
  <c r="R23" i="21"/>
  <c r="R30" i="21"/>
  <c r="R30" i="12"/>
  <c r="R30" i="15"/>
  <c r="R25" i="12"/>
  <c r="R25" i="15"/>
  <c r="Q25" i="12"/>
  <c r="Q25" i="21"/>
  <c r="Q25" i="15"/>
  <c r="Q26" i="12"/>
  <c r="Q26" i="15"/>
  <c r="Q18" i="15"/>
  <c r="Q18" i="21"/>
  <c r="Q18" i="12"/>
  <c r="Q21" i="12"/>
  <c r="Q21" i="15"/>
  <c r="Q21" i="21"/>
  <c r="Q20" i="15"/>
  <c r="Q20" i="12"/>
  <c r="Q20" i="21"/>
  <c r="Q4" i="15"/>
  <c r="Q4" i="12"/>
  <c r="Q4" i="21"/>
  <c r="Q3" i="21"/>
  <c r="Q3" i="12"/>
  <c r="Q3" i="15"/>
  <c r="Q9" i="21"/>
  <c r="Q9" i="15"/>
  <c r="Q9" i="12"/>
  <c r="Q14" i="12"/>
  <c r="Q14" i="15"/>
  <c r="Q14" i="21"/>
  <c r="Q24" i="12"/>
  <c r="Q24" i="21"/>
  <c r="Q24" i="15"/>
  <c r="Q8" i="12"/>
  <c r="Q8" i="15"/>
  <c r="Q8" i="21"/>
  <c r="Q2" i="12"/>
  <c r="Q2" i="15"/>
  <c r="Q2" i="21"/>
  <c r="Q15" i="21" s="1"/>
  <c r="Q23" i="15"/>
  <c r="Q23" i="21"/>
  <c r="Q23" i="12"/>
  <c r="Q30" i="21"/>
  <c r="Q30" i="15"/>
  <c r="Q30" i="12"/>
  <c r="N26" i="15"/>
  <c r="N26" i="12"/>
  <c r="N18" i="21"/>
  <c r="N18" i="15"/>
  <c r="N18" i="12"/>
  <c r="N21" i="15"/>
  <c r="N21" i="12"/>
  <c r="N21" i="21"/>
  <c r="N20" i="21"/>
  <c r="N20" i="15"/>
  <c r="N20" i="12"/>
  <c r="N4" i="15"/>
  <c r="N4" i="21"/>
  <c r="N3" i="21"/>
  <c r="N3" i="15"/>
  <c r="N9" i="21"/>
  <c r="N9" i="15"/>
  <c r="N14" i="15"/>
  <c r="N14" i="12"/>
  <c r="N14" i="21"/>
  <c r="N24" i="12"/>
  <c r="N24" i="15"/>
  <c r="N24" i="21"/>
  <c r="N8" i="15"/>
  <c r="N8" i="21"/>
  <c r="N2" i="15"/>
  <c r="N2" i="21"/>
  <c r="N2" i="12"/>
  <c r="N23" i="12"/>
  <c r="N23" i="21"/>
  <c r="N23" i="15"/>
  <c r="N30" i="21"/>
  <c r="N30" i="15"/>
  <c r="N30" i="12"/>
  <c r="N25" i="21"/>
  <c r="N25" i="15"/>
  <c r="N25" i="12"/>
  <c r="O26" i="12"/>
  <c r="O26" i="15"/>
  <c r="O18" i="12"/>
  <c r="O18" i="21"/>
  <c r="O18" i="15"/>
  <c r="O21" i="21"/>
  <c r="O21" i="15"/>
  <c r="O21" i="12"/>
  <c r="O20" i="21"/>
  <c r="O20" i="12"/>
  <c r="O20" i="15"/>
  <c r="O4" i="15"/>
  <c r="O4" i="21"/>
  <c r="O3" i="15"/>
  <c r="O3" i="21"/>
  <c r="O9" i="15"/>
  <c r="O9" i="21"/>
  <c r="O14" i="12"/>
  <c r="O14" i="21"/>
  <c r="O14" i="15"/>
  <c r="O24" i="12"/>
  <c r="O24" i="15"/>
  <c r="O8" i="21"/>
  <c r="O8" i="15"/>
  <c r="O2" i="15"/>
  <c r="O2" i="21"/>
  <c r="O23" i="21"/>
  <c r="O23" i="12"/>
  <c r="O23" i="15"/>
  <c r="O30" i="21"/>
  <c r="O30" i="12"/>
  <c r="O30" i="15"/>
  <c r="F23" i="21"/>
  <c r="H23" i="21"/>
  <c r="I23" i="21"/>
  <c r="K23" i="21"/>
  <c r="L23" i="21"/>
  <c r="H21" i="21"/>
  <c r="F2" i="21"/>
  <c r="I2" i="21"/>
  <c r="K2" i="21"/>
  <c r="L2" i="21"/>
  <c r="F3" i="21"/>
  <c r="I3" i="21"/>
  <c r="E4" i="21"/>
  <c r="H4" i="21"/>
  <c r="E5" i="21"/>
  <c r="H5" i="21"/>
  <c r="K5" i="21"/>
  <c r="E6" i="21"/>
  <c r="H6" i="21"/>
  <c r="K6" i="21"/>
  <c r="L6" i="21"/>
  <c r="M6" i="21" s="1"/>
  <c r="F7" i="21"/>
  <c r="I7" i="21"/>
  <c r="J7" i="21" s="1"/>
  <c r="F8" i="21"/>
  <c r="I8" i="21"/>
  <c r="J8" i="21" s="1"/>
  <c r="K8" i="21"/>
  <c r="L8" i="21"/>
  <c r="E9" i="21"/>
  <c r="H9" i="21"/>
  <c r="K9" i="21"/>
  <c r="F10" i="21"/>
  <c r="I10" i="21"/>
  <c r="J10" i="21" s="1"/>
  <c r="K10" i="21"/>
  <c r="L10" i="21"/>
  <c r="M10" i="21" s="1"/>
  <c r="H19" i="21"/>
  <c r="F18" i="21"/>
  <c r="E18" i="21"/>
  <c r="L14" i="21"/>
  <c r="M14" i="21" s="1"/>
  <c r="I14" i="21"/>
  <c r="J14" i="21" s="1"/>
  <c r="F14" i="21"/>
  <c r="G14" i="21" s="1"/>
  <c r="F11" i="21"/>
  <c r="I11" i="21"/>
  <c r="J11" i="21" s="1"/>
  <c r="K11" i="21"/>
  <c r="L9" i="21"/>
  <c r="M9" i="21" s="1"/>
  <c r="L13" i="21"/>
  <c r="K13" i="21"/>
  <c r="I13" i="21"/>
  <c r="F13" i="21"/>
  <c r="L11" i="21"/>
  <c r="M11" i="21" s="1"/>
  <c r="F12" i="21"/>
  <c r="I12" i="21"/>
  <c r="E13" i="21"/>
  <c r="H13" i="21"/>
  <c r="I21" i="21"/>
  <c r="J21" i="21" s="1"/>
  <c r="L12" i="21"/>
  <c r="M12" i="21" s="1"/>
  <c r="K12" i="21"/>
  <c r="H12" i="21"/>
  <c r="E12" i="21"/>
  <c r="H11" i="21"/>
  <c r="E11" i="21"/>
  <c r="H10" i="21"/>
  <c r="E10" i="21"/>
  <c r="I9" i="21"/>
  <c r="J9" i="21" s="1"/>
  <c r="F9" i="21"/>
  <c r="E14" i="21"/>
  <c r="H14" i="21"/>
  <c r="K14" i="21"/>
  <c r="H18" i="21"/>
  <c r="I18" i="21"/>
  <c r="K18" i="21"/>
  <c r="H8" i="21"/>
  <c r="E8" i="21"/>
  <c r="L7" i="21"/>
  <c r="M7" i="21" s="1"/>
  <c r="K7" i="21"/>
  <c r="H7" i="21"/>
  <c r="E7" i="21"/>
  <c r="I6" i="21"/>
  <c r="J6" i="21" s="1"/>
  <c r="F6" i="21"/>
  <c r="L18" i="21"/>
  <c r="M18" i="21" s="1"/>
  <c r="E19" i="21"/>
  <c r="F19" i="21"/>
  <c r="I19" i="21"/>
  <c r="J19" i="21" s="1"/>
  <c r="K21" i="21"/>
  <c r="L5" i="21"/>
  <c r="M5" i="21" s="1"/>
  <c r="I5" i="21"/>
  <c r="J5" i="21" s="1"/>
  <c r="F5" i="21"/>
  <c r="AC5" i="21" s="1"/>
  <c r="K19" i="21"/>
  <c r="L19" i="21"/>
  <c r="L21" i="21"/>
  <c r="E22" i="21"/>
  <c r="E20" i="21"/>
  <c r="F22" i="21"/>
  <c r="H22" i="21"/>
  <c r="F20" i="21"/>
  <c r="L4" i="21"/>
  <c r="M4" i="21" s="1"/>
  <c r="K4" i="21"/>
  <c r="I4" i="21"/>
  <c r="F4" i="21"/>
  <c r="I22" i="21"/>
  <c r="J22" i="21" s="1"/>
  <c r="K22" i="21"/>
  <c r="H20" i="21"/>
  <c r="L22" i="21"/>
  <c r="M22" i="21" s="1"/>
  <c r="I20" i="21"/>
  <c r="J20" i="21" s="1"/>
  <c r="E23" i="21"/>
  <c r="K20" i="21"/>
  <c r="L3" i="21"/>
  <c r="K3" i="21"/>
  <c r="H3" i="21"/>
  <c r="E3" i="21"/>
  <c r="L20" i="21"/>
  <c r="M20" i="21" s="1"/>
  <c r="E21" i="21"/>
  <c r="F21" i="21"/>
  <c r="H2" i="21"/>
  <c r="E2" i="21"/>
  <c r="P10" i="21"/>
  <c r="P6" i="21"/>
  <c r="P19" i="21"/>
  <c r="X20" i="21"/>
  <c r="X27" i="21"/>
  <c r="X26" i="21"/>
  <c r="X19" i="21"/>
  <c r="X29" i="21"/>
  <c r="W29" i="21"/>
  <c r="W27" i="21"/>
  <c r="U27" i="21"/>
  <c r="T27" i="21"/>
  <c r="S27" i="21"/>
  <c r="X21" i="21"/>
  <c r="X18" i="21"/>
  <c r="X24" i="21"/>
  <c r="U29" i="21"/>
  <c r="T29" i="21"/>
  <c r="S29" i="21"/>
  <c r="O29" i="21"/>
  <c r="X28" i="21"/>
  <c r="R28" i="21"/>
  <c r="R29" i="21"/>
  <c r="Q28" i="21"/>
  <c r="Q29" i="21"/>
  <c r="N28" i="21"/>
  <c r="N29" i="21"/>
  <c r="P29" i="21" s="1"/>
  <c r="O27" i="21"/>
  <c r="P27" i="21" s="1"/>
  <c r="O28" i="21"/>
  <c r="X25" i="21"/>
  <c r="X23" i="21"/>
  <c r="X15" i="21"/>
  <c r="AE213" i="10" a="1"/>
  <c r="AE213" i="10" s="1"/>
  <c r="AE240" i="10" a="1"/>
  <c r="AE240" i="10" s="1"/>
  <c r="AE242" i="10" a="1"/>
  <c r="AE242" i="10" s="1"/>
  <c r="AE176" i="10" a="1"/>
  <c r="AE176" i="10" s="1"/>
  <c r="AE177" i="10" a="1"/>
  <c r="AE177" i="10" s="1"/>
  <c r="AE239" i="10" a="1"/>
  <c r="AE239" i="10" s="1"/>
  <c r="AE241" i="10" a="1"/>
  <c r="AE241" i="10" s="1"/>
  <c r="P13" i="21"/>
  <c r="S4" i="15"/>
  <c r="S2" i="15"/>
  <c r="R4" i="15"/>
  <c r="R3" i="15"/>
  <c r="R9" i="15"/>
  <c r="AB22" i="21"/>
  <c r="Z22" i="21"/>
  <c r="AB20" i="21"/>
  <c r="Z20" i="21"/>
  <c r="Z19" i="21"/>
  <c r="AB19" i="21"/>
  <c r="Z18" i="21"/>
  <c r="AB18" i="21"/>
  <c r="AB14" i="21"/>
  <c r="Z14" i="21"/>
  <c r="AB13" i="21"/>
  <c r="Z13" i="21"/>
  <c r="AB12" i="21"/>
  <c r="Z12" i="21"/>
  <c r="AB11" i="21"/>
  <c r="Z11" i="21"/>
  <c r="AB10" i="21"/>
  <c r="Z10" i="21"/>
  <c r="Z9" i="21"/>
  <c r="AB9" i="21"/>
  <c r="Z8" i="21"/>
  <c r="AB8" i="21"/>
  <c r="AB7" i="21"/>
  <c r="Z7" i="21"/>
  <c r="Z6" i="21"/>
  <c r="AB6" i="21"/>
  <c r="P25" i="21"/>
  <c r="L28" i="21"/>
  <c r="M28" i="21" s="1"/>
  <c r="K28" i="21"/>
  <c r="I28" i="21"/>
  <c r="J28" i="21" s="1"/>
  <c r="H28" i="21"/>
  <c r="F28" i="21"/>
  <c r="E28" i="21"/>
  <c r="L29" i="21"/>
  <c r="M29" i="21" s="1"/>
  <c r="K29" i="21"/>
  <c r="I29" i="21"/>
  <c r="J29" i="21" s="1"/>
  <c r="L27" i="21"/>
  <c r="M27" i="21" s="1"/>
  <c r="K27" i="21"/>
  <c r="H29" i="21"/>
  <c r="H27" i="21"/>
  <c r="F27" i="21"/>
  <c r="E27" i="21"/>
  <c r="F29" i="21"/>
  <c r="AC29" i="21" s="1"/>
  <c r="K30" i="21"/>
  <c r="L30" i="21"/>
  <c r="M30" i="21" s="1"/>
  <c r="E30" i="21"/>
  <c r="E29" i="21"/>
  <c r="I27" i="21"/>
  <c r="J27" i="21" s="1"/>
  <c r="F30" i="21"/>
  <c r="G30" i="21" s="1"/>
  <c r="H30" i="21"/>
  <c r="I30" i="21"/>
  <c r="J30" i="21" s="1"/>
  <c r="L26" i="21"/>
  <c r="M26" i="21" s="1"/>
  <c r="K26" i="21"/>
  <c r="K25" i="21"/>
  <c r="F26" i="21"/>
  <c r="H25" i="21"/>
  <c r="F25" i="21"/>
  <c r="E25" i="21"/>
  <c r="E26" i="21"/>
  <c r="L24" i="21"/>
  <c r="K24" i="21"/>
  <c r="I24" i="21"/>
  <c r="J24" i="21" s="1"/>
  <c r="H24" i="21"/>
  <c r="F24" i="21"/>
  <c r="E24" i="21"/>
  <c r="H26" i="21"/>
  <c r="I26" i="21"/>
  <c r="J26" i="21" s="1"/>
  <c r="L25" i="21"/>
  <c r="M25" i="21" s="1"/>
  <c r="I25" i="21"/>
  <c r="J25" i="21" s="1"/>
  <c r="V25" i="21"/>
  <c r="V31" i="21" s="1"/>
  <c r="V25" i="15"/>
  <c r="V31" i="15" s="1"/>
  <c r="P11" i="21"/>
  <c r="P7" i="21"/>
  <c r="N5" i="15"/>
  <c r="N6" i="15"/>
  <c r="N10" i="15"/>
  <c r="O5" i="15"/>
  <c r="O6" i="15"/>
  <c r="O10" i="15"/>
  <c r="AD133" i="10" a="1"/>
  <c r="AD133" i="10" s="1"/>
  <c r="D15" i="4"/>
  <c r="H15" i="4" s="1"/>
  <c r="E15" i="4"/>
  <c r="D18" i="4"/>
  <c r="H18" i="4" s="1"/>
  <c r="E18" i="4"/>
  <c r="D23" i="4"/>
  <c r="H23" i="4" s="1"/>
  <c r="E23" i="4"/>
  <c r="E24" i="4"/>
  <c r="D24" i="4"/>
  <c r="H24" i="4" s="1"/>
  <c r="D25" i="4"/>
  <c r="H25" i="4" s="1"/>
  <c r="E25" i="4"/>
  <c r="D5" i="4"/>
  <c r="H5" i="4" s="1"/>
  <c r="E5" i="4"/>
  <c r="D6" i="4"/>
  <c r="H6" i="4" s="1"/>
  <c r="E6" i="4"/>
  <c r="D10" i="4"/>
  <c r="H10" i="4" s="1"/>
  <c r="E10" i="4"/>
  <c r="E12" i="4"/>
  <c r="D12" i="4"/>
  <c r="H12" i="4" s="1"/>
  <c r="E13" i="4"/>
  <c r="D13" i="4"/>
  <c r="H13" i="4" s="1"/>
  <c r="O25" i="15"/>
  <c r="O25" i="12"/>
  <c r="X26" i="12"/>
  <c r="X26" i="15"/>
  <c r="X18" i="12"/>
  <c r="X18" i="15"/>
  <c r="X21" i="15"/>
  <c r="X21" i="12"/>
  <c r="X20" i="12"/>
  <c r="X20" i="15"/>
  <c r="X4" i="15"/>
  <c r="X4" i="12"/>
  <c r="X3" i="15"/>
  <c r="X3" i="12"/>
  <c r="X9" i="12"/>
  <c r="X9" i="15"/>
  <c r="X24" i="12"/>
  <c r="X24" i="15"/>
  <c r="X8" i="12"/>
  <c r="X8" i="15"/>
  <c r="X2" i="12"/>
  <c r="X2" i="15"/>
  <c r="X23" i="12"/>
  <c r="X23" i="15"/>
  <c r="X30" i="12"/>
  <c r="X30" i="15"/>
  <c r="X25" i="12"/>
  <c r="X25" i="15"/>
  <c r="U25" i="12"/>
  <c r="U25" i="15"/>
  <c r="W26" i="15"/>
  <c r="W26" i="12"/>
  <c r="W18" i="12"/>
  <c r="W18" i="15"/>
  <c r="W21" i="15"/>
  <c r="W21" i="12"/>
  <c r="W20" i="15"/>
  <c r="W20" i="12"/>
  <c r="W4" i="12"/>
  <c r="W4" i="15"/>
  <c r="W3" i="12"/>
  <c r="W3" i="15"/>
  <c r="W9" i="15"/>
  <c r="W9" i="12"/>
  <c r="W25" i="15"/>
  <c r="W25" i="12"/>
  <c r="E18" i="15"/>
  <c r="F20" i="15"/>
  <c r="F21" i="15"/>
  <c r="F22" i="15"/>
  <c r="F23" i="15"/>
  <c r="F19" i="15"/>
  <c r="F24" i="15"/>
  <c r="F12" i="15"/>
  <c r="F25" i="15"/>
  <c r="F30" i="15"/>
  <c r="F27" i="15"/>
  <c r="F28" i="15"/>
  <c r="F29" i="15"/>
  <c r="F18" i="15"/>
  <c r="F26" i="15"/>
  <c r="AE172" i="10" a="1"/>
  <c r="AE172" i="10" s="1"/>
  <c r="AE192" i="10" a="1"/>
  <c r="AE192" i="10" s="1"/>
  <c r="AE198" i="10" a="1"/>
  <c r="AE198" i="10" s="1"/>
  <c r="AE216" i="10" a="1"/>
  <c r="AE216" i="10" s="1"/>
  <c r="AE221" i="10" a="1"/>
  <c r="AE221" i="10" s="1"/>
  <c r="AE238" i="10" a="1"/>
  <c r="AE238" i="10" s="1"/>
  <c r="AE191" i="10" a="1"/>
  <c r="AE191" i="10" s="1"/>
  <c r="AE197" i="10" a="1"/>
  <c r="AE197" i="10" s="1"/>
  <c r="AE214" i="10" a="1"/>
  <c r="AE214" i="10" s="1"/>
  <c r="AE220" i="10" a="1"/>
  <c r="AE220" i="10" s="1"/>
  <c r="AE237" i="10" a="1"/>
  <c r="AE237" i="10" s="1"/>
  <c r="AE195" i="10" a="1"/>
  <c r="AE195" i="10" s="1"/>
  <c r="AE212" i="10" a="1"/>
  <c r="AE212" i="10" s="1"/>
  <c r="AE218" i="10" a="1"/>
  <c r="AE218" i="10" s="1"/>
  <c r="AE235" i="10" a="1"/>
  <c r="AE235" i="10" s="1"/>
  <c r="AE193" i="10" a="1"/>
  <c r="AE193" i="10" s="1"/>
  <c r="AE199" i="10" a="1"/>
  <c r="AE199" i="10" s="1"/>
  <c r="AE215" i="10" a="1"/>
  <c r="AE215" i="10" s="1"/>
  <c r="AE233" i="10" a="1"/>
  <c r="AE233" i="10" s="1"/>
  <c r="AE194" i="10" a="1"/>
  <c r="AE194" i="10" s="1"/>
  <c r="AE200" i="10" a="1"/>
  <c r="AE200" i="10" s="1"/>
  <c r="AE217" i="10" a="1"/>
  <c r="AE217" i="10" s="1"/>
  <c r="AE234" i="10" a="1"/>
  <c r="AE234" i="10" s="1"/>
  <c r="AE174" i="10" a="1"/>
  <c r="AE174" i="10" s="1"/>
  <c r="AE175" i="10" a="1"/>
  <c r="AE175" i="10" s="1"/>
  <c r="AE196" i="10" a="1"/>
  <c r="AE196" i="10" s="1"/>
  <c r="AE219" i="10" a="1"/>
  <c r="AE219" i="10" s="1"/>
  <c r="AE236" i="10" a="1"/>
  <c r="AE236" i="10" s="1"/>
  <c r="AE173" i="10" a="1"/>
  <c r="AE173" i="10" s="1"/>
  <c r="M104" i="17"/>
  <c r="N117" i="17"/>
  <c r="M124" i="17"/>
  <c r="M63" i="17"/>
  <c r="M158" i="17"/>
  <c r="M151" i="17"/>
  <c r="N118" i="17"/>
  <c r="M18" i="17"/>
  <c r="M97" i="17"/>
  <c r="M163" i="17"/>
  <c r="M154" i="17"/>
  <c r="M161" i="17"/>
  <c r="N161" i="17" s="1"/>
  <c r="M58" i="17"/>
  <c r="M23" i="17"/>
  <c r="M21" i="17"/>
  <c r="N21" i="17" s="1"/>
  <c r="M157" i="17"/>
  <c r="N91" i="17"/>
  <c r="O91" i="17"/>
  <c r="O90" i="17"/>
  <c r="N90" i="17"/>
  <c r="O164" i="17"/>
  <c r="N164" i="17"/>
  <c r="N163" i="17"/>
  <c r="O163" i="17"/>
  <c r="O162" i="17"/>
  <c r="N162" i="17"/>
  <c r="O161" i="17"/>
  <c r="O160" i="17"/>
  <c r="N160" i="17"/>
  <c r="N159" i="17"/>
  <c r="O159" i="17"/>
  <c r="N158" i="17"/>
  <c r="O158" i="17"/>
  <c r="N157" i="17"/>
  <c r="O157" i="17"/>
  <c r="N156" i="17"/>
  <c r="O156" i="17"/>
  <c r="O155" i="17"/>
  <c r="O154" i="17"/>
  <c r="N154" i="17"/>
  <c r="O153" i="17"/>
  <c r="N152" i="17"/>
  <c r="O152" i="17"/>
  <c r="O151" i="17"/>
  <c r="N150" i="17"/>
  <c r="O150" i="17"/>
  <c r="O149" i="17"/>
  <c r="N149" i="17"/>
  <c r="N148" i="17"/>
  <c r="O148" i="17"/>
  <c r="O147" i="17"/>
  <c r="N146" i="17"/>
  <c r="O146" i="17"/>
  <c r="N145" i="17"/>
  <c r="O145" i="17"/>
  <c r="O144" i="17"/>
  <c r="N144" i="17"/>
  <c r="O143" i="17"/>
  <c r="N143" i="17"/>
  <c r="O142" i="17"/>
  <c r="N142" i="17"/>
  <c r="O141" i="17"/>
  <c r="N141" i="17"/>
  <c r="O140" i="17"/>
  <c r="O139" i="17"/>
  <c r="N138" i="17"/>
  <c r="O138" i="17"/>
  <c r="O137" i="17"/>
  <c r="N137" i="17"/>
  <c r="N136" i="17"/>
  <c r="O136" i="17"/>
  <c r="N135" i="17"/>
  <c r="O135" i="17"/>
  <c r="O134" i="17"/>
  <c r="N134" i="17"/>
  <c r="N133" i="17"/>
  <c r="O133" i="17"/>
  <c r="O132" i="17"/>
  <c r="N132" i="17"/>
  <c r="N131" i="17"/>
  <c r="O131" i="17"/>
  <c r="N130" i="17"/>
  <c r="O130" i="17"/>
  <c r="N129" i="17"/>
  <c r="O129" i="17"/>
  <c r="O128" i="17"/>
  <c r="N128" i="17"/>
  <c r="O127" i="17"/>
  <c r="N127" i="17"/>
  <c r="O126" i="17"/>
  <c r="N126" i="17"/>
  <c r="N125" i="17"/>
  <c r="O125" i="17"/>
  <c r="N124" i="17"/>
  <c r="O124" i="17"/>
  <c r="O123" i="17"/>
  <c r="N123" i="17"/>
  <c r="O122" i="17"/>
  <c r="O121" i="17"/>
  <c r="N121" i="17"/>
  <c r="N120" i="17"/>
  <c r="O120" i="17"/>
  <c r="O119" i="17"/>
  <c r="N119" i="17"/>
  <c r="O118" i="17"/>
  <c r="O117" i="17"/>
  <c r="O116" i="17"/>
  <c r="N115" i="17"/>
  <c r="O115" i="17"/>
  <c r="O114" i="17"/>
  <c r="N114" i="17"/>
  <c r="N113" i="17"/>
  <c r="O113" i="17"/>
  <c r="O112" i="17"/>
  <c r="O111" i="17"/>
  <c r="N111" i="17"/>
  <c r="O110" i="17"/>
  <c r="N109" i="17"/>
  <c r="O109" i="17"/>
  <c r="N108" i="17"/>
  <c r="O108" i="17"/>
  <c r="O107" i="17"/>
  <c r="N107" i="17"/>
  <c r="N106" i="17"/>
  <c r="O106" i="17"/>
  <c r="O105" i="17"/>
  <c r="N105" i="17"/>
  <c r="O104" i="17"/>
  <c r="N104" i="17"/>
  <c r="N103" i="17"/>
  <c r="O103" i="17"/>
  <c r="O102" i="17"/>
  <c r="N102" i="17"/>
  <c r="N101" i="17"/>
  <c r="O101" i="17"/>
  <c r="O100" i="17"/>
  <c r="N100" i="17"/>
  <c r="N99" i="17"/>
  <c r="O99" i="17"/>
  <c r="O98" i="17"/>
  <c r="N98" i="17"/>
  <c r="O97" i="17"/>
  <c r="N97" i="17"/>
  <c r="N96" i="17"/>
  <c r="O96" i="17"/>
  <c r="O95" i="17"/>
  <c r="N95" i="17"/>
  <c r="O94" i="17"/>
  <c r="N94" i="17"/>
  <c r="O93" i="17"/>
  <c r="N93" i="17"/>
  <c r="O92" i="17"/>
  <c r="N92" i="17"/>
  <c r="O89" i="17"/>
  <c r="O88" i="17"/>
  <c r="N88" i="17"/>
  <c r="O87" i="17"/>
  <c r="N87" i="17"/>
  <c r="N86" i="17"/>
  <c r="O86" i="17"/>
  <c r="N85" i="17"/>
  <c r="O85" i="17"/>
  <c r="N84" i="17"/>
  <c r="O84" i="17"/>
  <c r="O83" i="17"/>
  <c r="N83" i="17"/>
  <c r="N82" i="17"/>
  <c r="O82" i="17"/>
  <c r="N81" i="17"/>
  <c r="O81" i="17"/>
  <c r="N80" i="17"/>
  <c r="O80" i="17"/>
  <c r="N79" i="17"/>
  <c r="O79" i="17"/>
  <c r="O78" i="17"/>
  <c r="N78" i="17"/>
  <c r="O77" i="17"/>
  <c r="N77" i="17"/>
  <c r="N76" i="17"/>
  <c r="O76" i="17"/>
  <c r="N75" i="17"/>
  <c r="O75" i="17"/>
  <c r="O74" i="17"/>
  <c r="N74" i="17"/>
  <c r="N73" i="17"/>
  <c r="O73" i="17"/>
  <c r="N72" i="17"/>
  <c r="O72" i="17"/>
  <c r="O71" i="17"/>
  <c r="O70" i="17"/>
  <c r="N70" i="17"/>
  <c r="N69" i="17"/>
  <c r="O69" i="17"/>
  <c r="N68" i="17"/>
  <c r="O68" i="17"/>
  <c r="O67" i="17"/>
  <c r="N67" i="17"/>
  <c r="O66" i="17"/>
  <c r="N66" i="17"/>
  <c r="O65" i="17"/>
  <c r="N65" i="17"/>
  <c r="O64" i="17"/>
  <c r="N64" i="17"/>
  <c r="N63" i="17"/>
  <c r="O63" i="17"/>
  <c r="N62" i="17"/>
  <c r="O62" i="17"/>
  <c r="O61" i="17"/>
  <c r="N61" i="17"/>
  <c r="O60" i="17"/>
  <c r="N60" i="17"/>
  <c r="O59" i="17"/>
  <c r="N59" i="17"/>
  <c r="N58" i="17"/>
  <c r="O58" i="17"/>
  <c r="N57" i="17"/>
  <c r="O57" i="17"/>
  <c r="N56" i="17"/>
  <c r="O56" i="17"/>
  <c r="O55" i="17"/>
  <c r="N55" i="17"/>
  <c r="O54" i="17"/>
  <c r="N53" i="17"/>
  <c r="O53" i="17"/>
  <c r="O52" i="17"/>
  <c r="O51" i="17"/>
  <c r="N51" i="17"/>
  <c r="N50" i="17"/>
  <c r="O50" i="17"/>
  <c r="N49" i="17"/>
  <c r="O49" i="17"/>
  <c r="O48" i="17"/>
  <c r="O47" i="17"/>
  <c r="O46" i="17"/>
  <c r="N46" i="17"/>
  <c r="O45" i="17"/>
  <c r="N45" i="17"/>
  <c r="O44" i="17"/>
  <c r="N44" i="17"/>
  <c r="N43" i="17"/>
  <c r="O43" i="17"/>
  <c r="N42" i="17"/>
  <c r="O42" i="17"/>
  <c r="O41" i="17"/>
  <c r="N41" i="17"/>
  <c r="O40" i="17"/>
  <c r="N40" i="17"/>
  <c r="O39" i="17"/>
  <c r="N39" i="17"/>
  <c r="N38" i="17"/>
  <c r="O38" i="17"/>
  <c r="O37" i="17"/>
  <c r="O36" i="17"/>
  <c r="N36" i="17"/>
  <c r="O35" i="17"/>
  <c r="N35" i="17"/>
  <c r="N34" i="17"/>
  <c r="O34" i="17"/>
  <c r="N33" i="17"/>
  <c r="O33" i="17"/>
  <c r="N32" i="17"/>
  <c r="O32" i="17"/>
  <c r="O31" i="17"/>
  <c r="O30" i="17"/>
  <c r="N30" i="17"/>
  <c r="O29" i="17"/>
  <c r="N29" i="17"/>
  <c r="N28" i="17"/>
  <c r="O28" i="17"/>
  <c r="N27" i="17"/>
  <c r="O27" i="17"/>
  <c r="N26" i="17"/>
  <c r="O26" i="17"/>
  <c r="O25" i="17"/>
  <c r="O24" i="17"/>
  <c r="N24" i="17"/>
  <c r="O23" i="17"/>
  <c r="N23" i="17"/>
  <c r="O22" i="17"/>
  <c r="N22" i="17"/>
  <c r="O21" i="17"/>
  <c r="O20" i="17"/>
  <c r="N20" i="17"/>
  <c r="N19" i="17"/>
  <c r="O19" i="17"/>
  <c r="O18" i="17"/>
  <c r="N18" i="17"/>
  <c r="O17" i="17"/>
  <c r="N16" i="17"/>
  <c r="O16" i="17"/>
  <c r="O15" i="17"/>
  <c r="N15" i="17"/>
  <c r="O14" i="17"/>
  <c r="N13" i="17"/>
  <c r="O13" i="17"/>
  <c r="O12" i="17"/>
  <c r="N12" i="17"/>
  <c r="O11" i="17"/>
  <c r="N11" i="17"/>
  <c r="O10" i="17"/>
  <c r="N10" i="17"/>
  <c r="N9" i="17"/>
  <c r="O9" i="17"/>
  <c r="O8" i="17"/>
  <c r="N8" i="17"/>
  <c r="N7" i="17"/>
  <c r="O7" i="17"/>
  <c r="N6" i="17"/>
  <c r="O6" i="17"/>
  <c r="N5" i="17"/>
  <c r="O5" i="17"/>
  <c r="N4" i="17"/>
  <c r="O4" i="17"/>
  <c r="N3" i="17"/>
  <c r="O3" i="17"/>
  <c r="O2" i="17"/>
  <c r="M159" i="17"/>
  <c r="I11" i="4"/>
  <c r="J11" i="4" s="1"/>
  <c r="L11" i="4" s="1"/>
  <c r="I7" i="4"/>
  <c r="J7" i="4" s="1"/>
  <c r="L7" i="4" s="1"/>
  <c r="X14" i="12"/>
  <c r="X14" i="15"/>
  <c r="X13" i="12"/>
  <c r="X13" i="15"/>
  <c r="X12" i="12"/>
  <c r="X12" i="15"/>
  <c r="X29" i="12"/>
  <c r="X29" i="15"/>
  <c r="X27" i="15"/>
  <c r="X27" i="12"/>
  <c r="X19" i="15"/>
  <c r="X19" i="12"/>
  <c r="X22" i="12"/>
  <c r="X22" i="15"/>
  <c r="X28" i="12"/>
  <c r="X28" i="15"/>
  <c r="X5" i="15"/>
  <c r="X5" i="12"/>
  <c r="X6" i="12"/>
  <c r="X6" i="15"/>
  <c r="X10" i="12"/>
  <c r="X10" i="15"/>
  <c r="W14" i="15"/>
  <c r="W14" i="12"/>
  <c r="W12" i="12"/>
  <c r="W12" i="15"/>
  <c r="W13" i="15"/>
  <c r="W13" i="12"/>
  <c r="W29" i="12"/>
  <c r="W29" i="15"/>
  <c r="W27" i="12"/>
  <c r="W27" i="15"/>
  <c r="W19" i="15"/>
  <c r="W19" i="12"/>
  <c r="W22" i="12"/>
  <c r="W22" i="15"/>
  <c r="W28" i="12"/>
  <c r="W28" i="15"/>
  <c r="W5" i="12"/>
  <c r="W5" i="15"/>
  <c r="W6" i="12"/>
  <c r="W6" i="15"/>
  <c r="W10" i="15"/>
  <c r="W10" i="12"/>
  <c r="U14" i="15"/>
  <c r="U14" i="12"/>
  <c r="U13" i="12"/>
  <c r="U13" i="15"/>
  <c r="U12" i="15"/>
  <c r="U12" i="12"/>
  <c r="U29" i="15"/>
  <c r="U29" i="12"/>
  <c r="U27" i="12"/>
  <c r="U27" i="15"/>
  <c r="U19" i="12"/>
  <c r="U19" i="15"/>
  <c r="U22" i="15"/>
  <c r="U22" i="12"/>
  <c r="U28" i="15"/>
  <c r="U5" i="12"/>
  <c r="U5" i="15"/>
  <c r="U6" i="12"/>
  <c r="U6" i="15"/>
  <c r="U10" i="12"/>
  <c r="U10" i="15"/>
  <c r="Y236" i="10"/>
  <c r="U28" i="12" s="1"/>
  <c r="T27" i="12"/>
  <c r="T27" i="15"/>
  <c r="T13" i="15"/>
  <c r="T13" i="12"/>
  <c r="T29" i="12"/>
  <c r="T29" i="15"/>
  <c r="T12" i="12"/>
  <c r="T12" i="15"/>
  <c r="T22" i="15"/>
  <c r="T22" i="12"/>
  <c r="T19" i="12"/>
  <c r="T19" i="15"/>
  <c r="T28" i="12"/>
  <c r="T28" i="15"/>
  <c r="T5" i="12"/>
  <c r="T5" i="15"/>
  <c r="T6" i="15"/>
  <c r="T6" i="12"/>
  <c r="T10" i="15"/>
  <c r="T10" i="12"/>
  <c r="S19" i="15"/>
  <c r="S19" i="12"/>
  <c r="S12" i="12"/>
  <c r="S12" i="15"/>
  <c r="S22" i="15"/>
  <c r="S22" i="12"/>
  <c r="S27" i="15"/>
  <c r="S27" i="12"/>
  <c r="S28" i="15"/>
  <c r="S28" i="12"/>
  <c r="S29" i="15"/>
  <c r="S29" i="12"/>
  <c r="S5" i="15"/>
  <c r="S5" i="12"/>
  <c r="S6" i="15"/>
  <c r="S6" i="12"/>
  <c r="S10" i="12"/>
  <c r="S10" i="15"/>
  <c r="S13" i="12"/>
  <c r="S13" i="15"/>
  <c r="R19" i="12"/>
  <c r="R19" i="15"/>
  <c r="R12" i="12"/>
  <c r="R12" i="15"/>
  <c r="R22" i="15"/>
  <c r="R22" i="12"/>
  <c r="R27" i="15"/>
  <c r="R27" i="12"/>
  <c r="R28" i="15"/>
  <c r="R28" i="12"/>
  <c r="R29" i="12"/>
  <c r="R29" i="15"/>
  <c r="R5" i="12"/>
  <c r="R5" i="15"/>
  <c r="R6" i="15"/>
  <c r="R6" i="12"/>
  <c r="R10" i="15"/>
  <c r="R10" i="12"/>
  <c r="R13" i="12"/>
  <c r="R13" i="15"/>
  <c r="Q13" i="12"/>
  <c r="Q13" i="15"/>
  <c r="Q29" i="12"/>
  <c r="Q29" i="15"/>
  <c r="Q19" i="12"/>
  <c r="Q19" i="15"/>
  <c r="Q22" i="12"/>
  <c r="Q22" i="15"/>
  <c r="Q27" i="12"/>
  <c r="Q27" i="15"/>
  <c r="Q28" i="12"/>
  <c r="Q28" i="15"/>
  <c r="Q5" i="12"/>
  <c r="Q5" i="15"/>
  <c r="Q6" i="12"/>
  <c r="Q6" i="15"/>
  <c r="Q10" i="12"/>
  <c r="Q10" i="15"/>
  <c r="Q12" i="15"/>
  <c r="U188" i="10"/>
  <c r="Q12" i="12" s="1"/>
  <c r="N27" i="12"/>
  <c r="N27" i="15"/>
  <c r="N19" i="15"/>
  <c r="N19" i="12"/>
  <c r="N22" i="15"/>
  <c r="N22" i="12"/>
  <c r="N28" i="12"/>
  <c r="N28" i="15"/>
  <c r="N29" i="12"/>
  <c r="N29" i="15"/>
  <c r="N12" i="15"/>
  <c r="N12" i="12"/>
  <c r="N13" i="15"/>
  <c r="N13" i="12"/>
  <c r="O27" i="12"/>
  <c r="O27" i="15"/>
  <c r="O19" i="15"/>
  <c r="O19" i="12"/>
  <c r="O22" i="15"/>
  <c r="O22" i="12"/>
  <c r="O28" i="15"/>
  <c r="O28" i="12"/>
  <c r="O29" i="12"/>
  <c r="O29" i="15"/>
  <c r="O12" i="12"/>
  <c r="O12" i="15"/>
  <c r="O13" i="15"/>
  <c r="O13" i="12"/>
  <c r="P11" i="15"/>
  <c r="P7" i="15"/>
  <c r="P7" i="12"/>
  <c r="V15" i="15"/>
  <c r="E30" i="12"/>
  <c r="E29" i="12"/>
  <c r="E28" i="12"/>
  <c r="E27" i="12"/>
  <c r="E26" i="12"/>
  <c r="E25" i="12"/>
  <c r="E24" i="12"/>
  <c r="E23" i="12"/>
  <c r="E22" i="12"/>
  <c r="E21" i="12"/>
  <c r="E20" i="12"/>
  <c r="E19" i="12"/>
  <c r="E18" i="12"/>
  <c r="F30" i="12"/>
  <c r="F29" i="12"/>
  <c r="G29" i="12" s="1"/>
  <c r="F28" i="12"/>
  <c r="G28" i="12" s="1"/>
  <c r="F27" i="12"/>
  <c r="F26" i="12"/>
  <c r="G26" i="12" s="1"/>
  <c r="F25" i="12"/>
  <c r="F24" i="12"/>
  <c r="F23" i="12"/>
  <c r="F22" i="12"/>
  <c r="F21" i="12"/>
  <c r="F20" i="12"/>
  <c r="G20" i="12" s="1"/>
  <c r="F19" i="12"/>
  <c r="F18" i="12"/>
  <c r="H30" i="12"/>
  <c r="H29" i="12"/>
  <c r="H28" i="12"/>
  <c r="H27" i="12"/>
  <c r="H26" i="12"/>
  <c r="H25" i="12"/>
  <c r="H24" i="12"/>
  <c r="H23" i="12"/>
  <c r="H22" i="12"/>
  <c r="H21" i="12"/>
  <c r="H20" i="12"/>
  <c r="H19" i="12"/>
  <c r="H18" i="12"/>
  <c r="H14" i="12"/>
  <c r="H13" i="12"/>
  <c r="I30" i="12"/>
  <c r="J30" i="12" s="1"/>
  <c r="I29" i="12"/>
  <c r="J29" i="12" s="1"/>
  <c r="I28" i="12"/>
  <c r="J28" i="12" s="1"/>
  <c r="I27" i="12"/>
  <c r="J27" i="12" s="1"/>
  <c r="I26" i="12"/>
  <c r="J26" i="12" s="1"/>
  <c r="I25" i="12"/>
  <c r="J25" i="12" s="1"/>
  <c r="I24" i="12"/>
  <c r="J24" i="12" s="1"/>
  <c r="I23" i="12"/>
  <c r="I22" i="12"/>
  <c r="J22" i="12" s="1"/>
  <c r="I21" i="12"/>
  <c r="J21" i="12" s="1"/>
  <c r="I20" i="12"/>
  <c r="J20" i="12" s="1"/>
  <c r="I19" i="12"/>
  <c r="I18" i="12"/>
  <c r="I14" i="12"/>
  <c r="J14" i="12" s="1"/>
  <c r="I13" i="12"/>
  <c r="K30" i="12"/>
  <c r="K29" i="12"/>
  <c r="K28" i="12"/>
  <c r="K27" i="12"/>
  <c r="K26" i="12"/>
  <c r="K25" i="12"/>
  <c r="K24" i="12"/>
  <c r="K23" i="12"/>
  <c r="K22" i="12"/>
  <c r="K21" i="12"/>
  <c r="K20" i="12"/>
  <c r="K19" i="12"/>
  <c r="K18" i="12"/>
  <c r="K14" i="12"/>
  <c r="K13" i="12"/>
  <c r="K12" i="12"/>
  <c r="K11" i="12"/>
  <c r="K10" i="12"/>
  <c r="K9" i="12"/>
  <c r="K8" i="12"/>
  <c r="K7" i="12"/>
  <c r="K6" i="12"/>
  <c r="K5" i="12"/>
  <c r="L30" i="12"/>
  <c r="M30" i="12" s="1"/>
  <c r="L29" i="12"/>
  <c r="M29" i="12" s="1"/>
  <c r="L28" i="12"/>
  <c r="M28" i="12" s="1"/>
  <c r="L27" i="12"/>
  <c r="M27" i="12" s="1"/>
  <c r="L26" i="12"/>
  <c r="M26" i="12" s="1"/>
  <c r="L25" i="12"/>
  <c r="M25" i="12" s="1"/>
  <c r="L24" i="12"/>
  <c r="L23" i="12"/>
  <c r="L22" i="12"/>
  <c r="M22" i="12" s="1"/>
  <c r="L21" i="12"/>
  <c r="L20" i="12"/>
  <c r="M20" i="12" s="1"/>
  <c r="L19" i="12"/>
  <c r="L18" i="12"/>
  <c r="L14" i="12"/>
  <c r="M14" i="12" s="1"/>
  <c r="L13" i="12"/>
  <c r="L12" i="12"/>
  <c r="M12" i="12" s="1"/>
  <c r="L11" i="12"/>
  <c r="M11" i="12" s="1"/>
  <c r="E2" i="12"/>
  <c r="E14" i="15"/>
  <c r="E8" i="15"/>
  <c r="F14" i="15"/>
  <c r="F10" i="15"/>
  <c r="F6" i="15"/>
  <c r="H2" i="15"/>
  <c r="H5" i="15"/>
  <c r="I7" i="15"/>
  <c r="J7" i="15" s="1"/>
  <c r="I3" i="15"/>
  <c r="K5" i="15"/>
  <c r="L5" i="15"/>
  <c r="M5" i="15" s="1"/>
  <c r="E25" i="15"/>
  <c r="E21" i="15"/>
  <c r="H30" i="15"/>
  <c r="H26" i="15"/>
  <c r="H21" i="15"/>
  <c r="H14" i="15"/>
  <c r="H10" i="15"/>
  <c r="I26" i="15"/>
  <c r="J26" i="15" s="1"/>
  <c r="I9" i="15"/>
  <c r="J9" i="15" s="1"/>
  <c r="K27" i="15"/>
  <c r="K23" i="15"/>
  <c r="K18" i="15"/>
  <c r="L19" i="15"/>
  <c r="L12" i="15"/>
  <c r="M12" i="15" s="1"/>
  <c r="E2" i="15"/>
  <c r="E11" i="15"/>
  <c r="E7" i="15"/>
  <c r="E4" i="15"/>
  <c r="F13" i="15"/>
  <c r="F9" i="15"/>
  <c r="F5" i="15"/>
  <c r="H8" i="15"/>
  <c r="H4" i="15"/>
  <c r="I8" i="15"/>
  <c r="J8" i="15" s="1"/>
  <c r="I4" i="15"/>
  <c r="K6" i="15"/>
  <c r="L8" i="15"/>
  <c r="L4" i="15"/>
  <c r="M4" i="15" s="1"/>
  <c r="L2" i="15"/>
  <c r="E30" i="15"/>
  <c r="E27" i="15"/>
  <c r="E22" i="15"/>
  <c r="E19" i="15"/>
  <c r="H27" i="15"/>
  <c r="H23" i="15"/>
  <c r="H20" i="15"/>
  <c r="H12" i="15"/>
  <c r="H9" i="15"/>
  <c r="I28" i="15"/>
  <c r="J28" i="15" s="1"/>
  <c r="I23" i="15"/>
  <c r="I20" i="15"/>
  <c r="J20" i="15" s="1"/>
  <c r="I14" i="15"/>
  <c r="J14" i="15" s="1"/>
  <c r="I11" i="15"/>
  <c r="J11" i="15" s="1"/>
  <c r="K30" i="15"/>
  <c r="K28" i="15"/>
  <c r="K25" i="15"/>
  <c r="K21" i="15"/>
  <c r="K13" i="15"/>
  <c r="K10" i="15"/>
  <c r="L30" i="15"/>
  <c r="M30" i="15" s="1"/>
  <c r="L27" i="15"/>
  <c r="M27" i="15" s="1"/>
  <c r="L25" i="15"/>
  <c r="M25" i="15" s="1"/>
  <c r="L21" i="15"/>
  <c r="L18" i="15"/>
  <c r="L11" i="15"/>
  <c r="M11" i="15" s="1"/>
  <c r="E13" i="15"/>
  <c r="E10" i="15"/>
  <c r="E5" i="15"/>
  <c r="F2" i="15"/>
  <c r="F11" i="15"/>
  <c r="F7" i="15"/>
  <c r="F3" i="15"/>
  <c r="H6" i="15"/>
  <c r="I2" i="15"/>
  <c r="J2" i="15" s="1"/>
  <c r="I5" i="15"/>
  <c r="J5" i="15" s="1"/>
  <c r="K7" i="15"/>
  <c r="K3" i="15"/>
  <c r="L6" i="15"/>
  <c r="M6" i="15" s="1"/>
  <c r="L3" i="15"/>
  <c r="E29" i="15"/>
  <c r="E26" i="15"/>
  <c r="E23" i="15"/>
  <c r="H28" i="15"/>
  <c r="H24" i="15"/>
  <c r="H19" i="15"/>
  <c r="H13" i="15"/>
  <c r="I30" i="15"/>
  <c r="J30" i="15" s="1"/>
  <c r="I27" i="15"/>
  <c r="J27" i="15" s="1"/>
  <c r="I24" i="15"/>
  <c r="J24" i="15" s="1"/>
  <c r="I21" i="15"/>
  <c r="J21" i="15" s="1"/>
  <c r="I18" i="15"/>
  <c r="I12" i="15"/>
  <c r="K24" i="15"/>
  <c r="K20" i="15"/>
  <c r="K14" i="15"/>
  <c r="K11" i="15"/>
  <c r="K8" i="15"/>
  <c r="L28" i="15"/>
  <c r="M28" i="15" s="1"/>
  <c r="L24" i="15"/>
  <c r="L22" i="15"/>
  <c r="M22" i="15" s="1"/>
  <c r="L13" i="15"/>
  <c r="L9" i="15"/>
  <c r="M9" i="15" s="1"/>
  <c r="F2" i="12"/>
  <c r="E12" i="15"/>
  <c r="E9" i="15"/>
  <c r="E6" i="15"/>
  <c r="E3" i="15"/>
  <c r="F8" i="15"/>
  <c r="F4" i="15"/>
  <c r="H7" i="15"/>
  <c r="H3" i="15"/>
  <c r="I6" i="15"/>
  <c r="K2" i="15"/>
  <c r="K4" i="15"/>
  <c r="L7" i="15"/>
  <c r="M7" i="15" s="1"/>
  <c r="E28" i="15"/>
  <c r="E24" i="15"/>
  <c r="E20" i="15"/>
  <c r="H29" i="15"/>
  <c r="H25" i="15"/>
  <c r="H22" i="15"/>
  <c r="H18" i="15"/>
  <c r="H11" i="15"/>
  <c r="I29" i="15"/>
  <c r="J29" i="15" s="1"/>
  <c r="I25" i="15"/>
  <c r="J25" i="15" s="1"/>
  <c r="I22" i="15"/>
  <c r="J22" i="15" s="1"/>
  <c r="I19" i="15"/>
  <c r="J19" i="15" s="1"/>
  <c r="I13" i="15"/>
  <c r="J13" i="15" s="1"/>
  <c r="I10" i="15"/>
  <c r="J10" i="15" s="1"/>
  <c r="K29" i="15"/>
  <c r="K26" i="15"/>
  <c r="K22" i="15"/>
  <c r="K19" i="15"/>
  <c r="K12" i="15"/>
  <c r="K9" i="15"/>
  <c r="L29" i="15"/>
  <c r="M29" i="15" s="1"/>
  <c r="L26" i="15"/>
  <c r="M26" i="15" s="1"/>
  <c r="L23" i="15"/>
  <c r="L20" i="15"/>
  <c r="M20" i="15" s="1"/>
  <c r="L14" i="15"/>
  <c r="M14" i="15" s="1"/>
  <c r="L10" i="15"/>
  <c r="M10" i="15" s="1"/>
  <c r="V31" i="12"/>
  <c r="V15" i="12"/>
  <c r="O3" i="12"/>
  <c r="O8" i="12"/>
  <c r="N4" i="12"/>
  <c r="O10" i="12"/>
  <c r="O6" i="12"/>
  <c r="O2" i="12"/>
  <c r="N10" i="12"/>
  <c r="P10" i="12" s="1"/>
  <c r="N5" i="12"/>
  <c r="O4" i="12"/>
  <c r="N3" i="12"/>
  <c r="N9" i="12"/>
  <c r="N6" i="12"/>
  <c r="N8" i="12"/>
  <c r="P8" i="12" s="1"/>
  <c r="O9" i="12"/>
  <c r="O5" i="12"/>
  <c r="K2" i="12"/>
  <c r="I9" i="12"/>
  <c r="J9" i="12" s="1"/>
  <c r="H4" i="12"/>
  <c r="F8" i="12"/>
  <c r="G8" i="12" s="1"/>
  <c r="E6" i="12"/>
  <c r="E12" i="12"/>
  <c r="L2" i="12"/>
  <c r="I10" i="12"/>
  <c r="J10" i="12" s="1"/>
  <c r="H6" i="12"/>
  <c r="F10" i="12"/>
  <c r="E7" i="12"/>
  <c r="E9" i="12"/>
  <c r="I5" i="12"/>
  <c r="J5" i="12" s="1"/>
  <c r="I12" i="12"/>
  <c r="H8" i="12"/>
  <c r="F4" i="12"/>
  <c r="F11" i="12"/>
  <c r="E11" i="12"/>
  <c r="L10" i="12"/>
  <c r="M10" i="12" s="1"/>
  <c r="I4" i="12"/>
  <c r="I11" i="12"/>
  <c r="J11" i="12" s="1"/>
  <c r="F3" i="12"/>
  <c r="F12" i="12"/>
  <c r="E10" i="12"/>
  <c r="L4" i="12"/>
  <c r="M4" i="12" s="1"/>
  <c r="L6" i="12"/>
  <c r="M6" i="12" s="1"/>
  <c r="L8" i="12"/>
  <c r="I2" i="12"/>
  <c r="H2" i="12"/>
  <c r="I7" i="12"/>
  <c r="J7" i="12" s="1"/>
  <c r="H3" i="12"/>
  <c r="H11" i="12"/>
  <c r="F7" i="12"/>
  <c r="E13" i="12"/>
  <c r="E4" i="12"/>
  <c r="F14" i="12"/>
  <c r="L3" i="12"/>
  <c r="L5" i="12"/>
  <c r="M5" i="12" s="1"/>
  <c r="L7" i="12"/>
  <c r="M7" i="12" s="1"/>
  <c r="L9" i="12"/>
  <c r="M9" i="12" s="1"/>
  <c r="K3" i="12"/>
  <c r="I8" i="12"/>
  <c r="J8" i="12" s="1"/>
  <c r="H5" i="12"/>
  <c r="H12" i="12"/>
  <c r="F9" i="12"/>
  <c r="E5" i="12"/>
  <c r="H7" i="12"/>
  <c r="I6" i="12"/>
  <c r="H9" i="12"/>
  <c r="F5" i="12"/>
  <c r="E3" i="12"/>
  <c r="E8" i="12"/>
  <c r="I3" i="12"/>
  <c r="H10" i="12"/>
  <c r="F6" i="12"/>
  <c r="F13" i="12"/>
  <c r="K4" i="12"/>
  <c r="E14" i="12"/>
  <c r="G13" i="4"/>
  <c r="AD137" i="10" a="1"/>
  <c r="AD137" i="10" s="1"/>
  <c r="AD141" i="10" a="1"/>
  <c r="AD141" i="10" s="1"/>
  <c r="AD107" i="10" a="1"/>
  <c r="AD107" i="10" s="1"/>
  <c r="AD45" i="10" a="1"/>
  <c r="AD45" i="10" s="1"/>
  <c r="AD75" i="10" a="1"/>
  <c r="AD75" i="10" s="1"/>
  <c r="AD77" i="10" a="1"/>
  <c r="AD77" i="10" s="1"/>
  <c r="AD67" i="10" a="1"/>
  <c r="AD67" i="10" s="1"/>
  <c r="AD63" i="10" a="1"/>
  <c r="AD63" i="10" s="1"/>
  <c r="AD65" i="10" a="1"/>
  <c r="AD65" i="10" s="1"/>
  <c r="AD66" i="10" a="1"/>
  <c r="AD66" i="10" s="1"/>
  <c r="AD58" i="10" a="1"/>
  <c r="AD58" i="10" s="1"/>
  <c r="AD49" i="10" a="1"/>
  <c r="AD49" i="10" s="1"/>
  <c r="AD83" i="10" a="1"/>
  <c r="AD83" i="10" s="1"/>
  <c r="AE4" i="10" a="1"/>
  <c r="AE4" i="10" s="1"/>
  <c r="AD4" i="10" a="1"/>
  <c r="AD4" i="10" s="1"/>
  <c r="AE16" i="10" a="1"/>
  <c r="AE16" i="10" s="1"/>
  <c r="AD16" i="10" a="1"/>
  <c r="AD16" i="10" s="1"/>
  <c r="AE23" i="10" a="1"/>
  <c r="AE23" i="10" s="1"/>
  <c r="AD23" i="10" a="1"/>
  <c r="AD23" i="10" s="1"/>
  <c r="AE40" i="10" a="1"/>
  <c r="AE40" i="10" s="1"/>
  <c r="AD40" i="10" a="1"/>
  <c r="AD40" i="10" s="1"/>
  <c r="AE41" i="10" a="1"/>
  <c r="AE41" i="10" s="1"/>
  <c r="AD41" i="10" a="1"/>
  <c r="AD41" i="10" s="1"/>
  <c r="AE42" i="10" a="1"/>
  <c r="AE42" i="10" s="1"/>
  <c r="AD42" i="10" a="1"/>
  <c r="AD42" i="10" s="1"/>
  <c r="AE72" i="10" a="1"/>
  <c r="AE72" i="10" s="1"/>
  <c r="AD72" i="10" a="1"/>
  <c r="AD72" i="10" s="1"/>
  <c r="AE73" i="10" a="1"/>
  <c r="AE73" i="10" s="1"/>
  <c r="AD73" i="10" a="1"/>
  <c r="AD73" i="10" s="1"/>
  <c r="AE49" i="10" a="1"/>
  <c r="AE49" i="10" s="1"/>
  <c r="AE83" i="10" a="1"/>
  <c r="AE83" i="10" s="1"/>
  <c r="AE67" i="10" a="1"/>
  <c r="AE67" i="10" s="1"/>
  <c r="AE137" i="10" a="1"/>
  <c r="AE137" i="10" s="1"/>
  <c r="AE77" i="10" a="1"/>
  <c r="AE77" i="10" s="1"/>
  <c r="AE168" i="10" a="1"/>
  <c r="AE168" i="10" s="1"/>
  <c r="AE63" i="10" a="1"/>
  <c r="AE63" i="10" s="1"/>
  <c r="AE133" i="10" a="1"/>
  <c r="AE133" i="10" s="1"/>
  <c r="AE58" i="10" a="1"/>
  <c r="AE58" i="10" s="1"/>
  <c r="AE107" i="10" a="1"/>
  <c r="AE107" i="10" s="1"/>
  <c r="AE45" i="10" a="1"/>
  <c r="AE45" i="10" s="1"/>
  <c r="AE75" i="10" a="1"/>
  <c r="AE75" i="10" s="1"/>
  <c r="AE141" i="10" a="1"/>
  <c r="AE141" i="10" s="1"/>
  <c r="AE151" i="10" a="1"/>
  <c r="AE151" i="10" s="1"/>
  <c r="AD151" i="10" a="1"/>
  <c r="AD151" i="10" s="1"/>
  <c r="AE152" i="10" a="1"/>
  <c r="AE152" i="10" s="1"/>
  <c r="AD152" i="10" a="1"/>
  <c r="AD152" i="10" s="1"/>
  <c r="AD153" i="10" a="1"/>
  <c r="AD153" i="10" s="1"/>
  <c r="AE153" i="10" a="1"/>
  <c r="AE153" i="10" s="1"/>
  <c r="AD154" i="10" a="1"/>
  <c r="AD154" i="10" s="1"/>
  <c r="AE154" i="10" a="1"/>
  <c r="AE154" i="10" s="1"/>
  <c r="AD155" i="10" a="1"/>
  <c r="AD155" i="10" s="1"/>
  <c r="AE155" i="10" a="1"/>
  <c r="AE155" i="10" s="1"/>
  <c r="AD156" i="10" a="1"/>
  <c r="AD156" i="10" s="1"/>
  <c r="AE156" i="10" a="1"/>
  <c r="AE156" i="10" s="1"/>
  <c r="AE157" i="10" a="1"/>
  <c r="AE157" i="10" s="1"/>
  <c r="AD157" i="10" a="1"/>
  <c r="AD157" i="10" s="1"/>
  <c r="AE158" i="10" a="1"/>
  <c r="AE158" i="10" s="1"/>
  <c r="AD158" i="10" a="1"/>
  <c r="AD158" i="10" s="1"/>
  <c r="AD159" i="10" a="1"/>
  <c r="AD159" i="10" s="1"/>
  <c r="AE159" i="10" a="1"/>
  <c r="AE159" i="10" s="1"/>
  <c r="AE160" i="10" a="1"/>
  <c r="AE160" i="10" s="1"/>
  <c r="AD160" i="10" a="1"/>
  <c r="AD160" i="10" s="1"/>
  <c r="AE161" i="10" a="1"/>
  <c r="AE161" i="10" s="1"/>
  <c r="AD161" i="10" a="1"/>
  <c r="AD161" i="10" s="1"/>
  <c r="AE162" i="10" a="1"/>
  <c r="AE162" i="10" s="1"/>
  <c r="AD162" i="10" a="1"/>
  <c r="AD162" i="10" s="1"/>
  <c r="AE163" i="10" a="1"/>
  <c r="AE163" i="10" s="1"/>
  <c r="AD163" i="10" a="1"/>
  <c r="AD163" i="10" s="1"/>
  <c r="AE164" i="10" a="1"/>
  <c r="AE164" i="10" s="1"/>
  <c r="AD164" i="10" a="1"/>
  <c r="AD164" i="10" s="1"/>
  <c r="AE118" i="10" a="1"/>
  <c r="AE118" i="10" s="1"/>
  <c r="AD118" i="10" a="1"/>
  <c r="AD118" i="10" s="1"/>
  <c r="AE119" i="10" a="1"/>
  <c r="AE119" i="10" s="1"/>
  <c r="AD119" i="10" a="1"/>
  <c r="AD119" i="10" s="1"/>
  <c r="AE120" i="10" a="1"/>
  <c r="AE120" i="10" s="1"/>
  <c r="AD120" i="10" a="1"/>
  <c r="AD120" i="10" s="1"/>
  <c r="AE121" i="10" a="1"/>
  <c r="AE121" i="10" s="1"/>
  <c r="AD121" i="10" a="1"/>
  <c r="AD121" i="10" s="1"/>
  <c r="AE122" i="10" a="1"/>
  <c r="AE122" i="10" s="1"/>
  <c r="AD122" i="10" a="1"/>
  <c r="AD122" i="10" s="1"/>
  <c r="AE123" i="10" a="1"/>
  <c r="AE123" i="10" s="1"/>
  <c r="AD123" i="10" a="1"/>
  <c r="AD123" i="10" s="1"/>
  <c r="AE124" i="10" a="1"/>
  <c r="AE124" i="10" s="1"/>
  <c r="AD124" i="10" a="1"/>
  <c r="AD124" i="10" s="1"/>
  <c r="AE125" i="10" a="1"/>
  <c r="AE125" i="10" s="1"/>
  <c r="AD125" i="10" a="1"/>
  <c r="AD125" i="10" s="1"/>
  <c r="AE126" i="10" a="1"/>
  <c r="AE126" i="10" s="1"/>
  <c r="AD126" i="10" a="1"/>
  <c r="AD126" i="10" s="1"/>
  <c r="AD127" i="10" a="1"/>
  <c r="AD127" i="10" s="1"/>
  <c r="AE127" i="10" a="1"/>
  <c r="AE127" i="10" s="1"/>
  <c r="AD128" i="10" a="1"/>
  <c r="AD128" i="10" s="1"/>
  <c r="AE128" i="10" a="1"/>
  <c r="AE128" i="10" s="1"/>
  <c r="AE129" i="10" a="1"/>
  <c r="AE129" i="10" s="1"/>
  <c r="AD129" i="10" a="1"/>
  <c r="AD129" i="10" s="1"/>
  <c r="AD130" i="10" a="1"/>
  <c r="AD130" i="10" s="1"/>
  <c r="AE130" i="10" a="1"/>
  <c r="AE130" i="10" s="1"/>
  <c r="AD131" i="10" a="1"/>
  <c r="AD131" i="10" s="1"/>
  <c r="AE131" i="10" a="1"/>
  <c r="AE131" i="10" s="1"/>
  <c r="AD132" i="10" a="1"/>
  <c r="AD132" i="10" s="1"/>
  <c r="AE132" i="10" a="1"/>
  <c r="AE132" i="10" s="1"/>
  <c r="AD134" i="10" a="1"/>
  <c r="AD134" i="10" s="1"/>
  <c r="AE134" i="10" a="1"/>
  <c r="AE134" i="10" s="1"/>
  <c r="C22" i="21" s="1"/>
  <c r="AE135" i="10" a="1"/>
  <c r="AE135" i="10" s="1"/>
  <c r="AD135" i="10" a="1"/>
  <c r="AD135" i="10" s="1"/>
  <c r="AD136" i="10" a="1"/>
  <c r="AD136" i="10" s="1"/>
  <c r="AE136" i="10" a="1"/>
  <c r="AE136" i="10" s="1"/>
  <c r="AE138" i="10" a="1"/>
  <c r="AE138" i="10" s="1"/>
  <c r="AD138" i="10" a="1"/>
  <c r="AD138" i="10" s="1"/>
  <c r="AE139" i="10" a="1"/>
  <c r="AE139" i="10" s="1"/>
  <c r="AD139" i="10" a="1"/>
  <c r="AD139" i="10" s="1"/>
  <c r="AE140" i="10" a="1"/>
  <c r="AE140" i="10" s="1"/>
  <c r="AD140" i="10" a="1"/>
  <c r="AD140" i="10" s="1"/>
  <c r="AE3" i="10" a="1"/>
  <c r="AE3" i="10" s="1"/>
  <c r="AD3" i="10" a="1"/>
  <c r="AD3" i="10" s="1"/>
  <c r="AE5" i="10" a="1"/>
  <c r="AE5" i="10" s="1"/>
  <c r="AD5" i="10" a="1"/>
  <c r="AD5" i="10" s="1"/>
  <c r="AE6" i="10" a="1"/>
  <c r="AE6" i="10" s="1"/>
  <c r="AD6" i="10" a="1"/>
  <c r="AD6" i="10" s="1"/>
  <c r="AE7" i="10" a="1"/>
  <c r="AE7" i="10" s="1"/>
  <c r="AD7" i="10" a="1"/>
  <c r="AD7" i="10" s="1"/>
  <c r="AD8" i="10" a="1"/>
  <c r="AD8" i="10" s="1"/>
  <c r="AE8" i="10" a="1"/>
  <c r="AE8" i="10" s="1"/>
  <c r="AE9" i="10" a="1"/>
  <c r="AE9" i="10" s="1"/>
  <c r="AD9" i="10" a="1"/>
  <c r="AD9" i="10" s="1"/>
  <c r="AE10" i="10" a="1"/>
  <c r="AE10" i="10" s="1"/>
  <c r="AD10" i="10" a="1"/>
  <c r="AD10" i="10" s="1"/>
  <c r="AE11" i="10" a="1"/>
  <c r="AE11" i="10" s="1"/>
  <c r="AD11" i="10" a="1"/>
  <c r="AD11" i="10" s="1"/>
  <c r="AE12" i="10" a="1"/>
  <c r="AE12" i="10" s="1"/>
  <c r="AD12" i="10" a="1"/>
  <c r="AD12" i="10" s="1"/>
  <c r="AE13" i="10" a="1"/>
  <c r="AE13" i="10" s="1"/>
  <c r="AD13" i="10" a="1"/>
  <c r="AD13" i="10" s="1"/>
  <c r="AE14" i="10" a="1"/>
  <c r="AE14" i="10" s="1"/>
  <c r="AD14" i="10" a="1"/>
  <c r="AD14" i="10" s="1"/>
  <c r="AD15" i="10" a="1"/>
  <c r="AD15" i="10" s="1"/>
  <c r="AE15" i="10" a="1"/>
  <c r="AE15" i="10" s="1"/>
  <c r="AE17" i="10" a="1"/>
  <c r="AE17" i="10" s="1"/>
  <c r="AD17" i="10" a="1"/>
  <c r="AD17" i="10" s="1"/>
  <c r="AE18" i="10" a="1"/>
  <c r="AE18" i="10" s="1"/>
  <c r="AD18" i="10" a="1"/>
  <c r="AD18" i="10" s="1"/>
  <c r="AE19" i="10" a="1"/>
  <c r="AE19" i="10" s="1"/>
  <c r="AD19" i="10" a="1"/>
  <c r="AD19" i="10" s="1"/>
  <c r="AD20" i="10" a="1"/>
  <c r="AD20" i="10" s="1"/>
  <c r="AE20" i="10" a="1"/>
  <c r="AE20" i="10" s="1"/>
  <c r="AE21" i="10" a="1"/>
  <c r="AE21" i="10" s="1"/>
  <c r="AD21" i="10" a="1"/>
  <c r="AD21" i="10" s="1"/>
  <c r="AE22" i="10" a="1"/>
  <c r="AE22" i="10" s="1"/>
  <c r="AD22" i="10" a="1"/>
  <c r="AD22" i="10" s="1"/>
  <c r="AE24" i="10" a="1"/>
  <c r="AE24" i="10" s="1"/>
  <c r="AD24" i="10" a="1"/>
  <c r="AD24" i="10" s="1"/>
  <c r="AE25" i="10" a="1"/>
  <c r="AE25" i="10" s="1"/>
  <c r="AD25" i="10" a="1"/>
  <c r="AD25" i="10" s="1"/>
  <c r="AE26" i="10" a="1"/>
  <c r="AE26" i="10" s="1"/>
  <c r="AD26" i="10" a="1"/>
  <c r="AD26" i="10" s="1"/>
  <c r="AD27" i="10" a="1"/>
  <c r="AD27" i="10" s="1"/>
  <c r="AE27" i="10" a="1"/>
  <c r="AE27" i="10" s="1"/>
  <c r="AE28" i="10" a="1"/>
  <c r="AE28" i="10" s="1"/>
  <c r="AD28" i="10" a="1"/>
  <c r="AD28" i="10" s="1"/>
  <c r="AE29" i="10" a="1"/>
  <c r="AE29" i="10" s="1"/>
  <c r="AD29" i="10" a="1"/>
  <c r="AD29" i="10" s="1"/>
  <c r="AE30" i="10" a="1"/>
  <c r="AE30" i="10" s="1"/>
  <c r="AD30" i="10" a="1"/>
  <c r="AD30" i="10" s="1"/>
  <c r="AD31" i="10" a="1"/>
  <c r="AD31" i="10" s="1"/>
  <c r="AE31" i="10" a="1"/>
  <c r="AE31" i="10" s="1"/>
  <c r="AD32" i="10" a="1"/>
  <c r="AD32" i="10" s="1"/>
  <c r="AE32" i="10" a="1"/>
  <c r="AE32" i="10" s="1"/>
  <c r="AD33" i="10" a="1"/>
  <c r="AD33" i="10" s="1"/>
  <c r="AE33" i="10" a="1"/>
  <c r="AE33" i="10" s="1"/>
  <c r="AD34" i="10" a="1"/>
  <c r="AD34" i="10" s="1"/>
  <c r="AE34" i="10" a="1"/>
  <c r="AE34" i="10" s="1"/>
  <c r="AD35" i="10" a="1"/>
  <c r="AD35" i="10" s="1"/>
  <c r="AE35" i="10" a="1"/>
  <c r="AE35" i="10" s="1"/>
  <c r="AD36" i="10" a="1"/>
  <c r="AD36" i="10" s="1"/>
  <c r="AE36" i="10" a="1"/>
  <c r="AE36" i="10" s="1"/>
  <c r="AD37" i="10" a="1"/>
  <c r="AD37" i="10" s="1"/>
  <c r="AE37" i="10" a="1"/>
  <c r="AE37" i="10" s="1"/>
  <c r="AD38" i="10" a="1"/>
  <c r="AD38" i="10" s="1"/>
  <c r="AE38" i="10" a="1"/>
  <c r="AE38" i="10" s="1"/>
  <c r="AD39" i="10" a="1"/>
  <c r="AD39" i="10" s="1"/>
  <c r="AE39" i="10" a="1"/>
  <c r="AE39" i="10" s="1"/>
  <c r="AD43" i="10" a="1"/>
  <c r="AD43" i="10" s="1"/>
  <c r="AE43" i="10" a="1"/>
  <c r="AE43" i="10" s="1"/>
  <c r="AD44" i="10" a="1"/>
  <c r="AD44" i="10" s="1"/>
  <c r="AE44" i="10" a="1"/>
  <c r="AE44" i="10" s="1"/>
  <c r="AD46" i="10" a="1"/>
  <c r="AD46" i="10" s="1"/>
  <c r="AE46" i="10" a="1"/>
  <c r="AE46" i="10" s="1"/>
  <c r="AD47" i="10" a="1"/>
  <c r="AD47" i="10" s="1"/>
  <c r="AE47" i="10" a="1"/>
  <c r="AE47" i="10" s="1"/>
  <c r="AD48" i="10" a="1"/>
  <c r="AD48" i="10" s="1"/>
  <c r="AE48" i="10" a="1"/>
  <c r="AE48" i="10" s="1"/>
  <c r="AD50" i="10" a="1"/>
  <c r="AD50" i="10" s="1"/>
  <c r="AE50" i="10" a="1"/>
  <c r="AE50" i="10" s="1"/>
  <c r="AD51" i="10" a="1"/>
  <c r="AD51" i="10" s="1"/>
  <c r="AE51" i="10" a="1"/>
  <c r="AE51" i="10" s="1"/>
  <c r="AE52" i="10" a="1"/>
  <c r="AE52" i="10" s="1"/>
  <c r="AD52" i="10" a="1"/>
  <c r="AD52" i="10" s="1"/>
  <c r="AE53" i="10" a="1"/>
  <c r="AE53" i="10" s="1"/>
  <c r="AD53" i="10" a="1"/>
  <c r="AD53" i="10" s="1"/>
  <c r="AE54" i="10" a="1"/>
  <c r="AE54" i="10" s="1"/>
  <c r="AD54" i="10" a="1"/>
  <c r="AD54" i="10" s="1"/>
  <c r="AE55" i="10" a="1"/>
  <c r="AE55" i="10" s="1"/>
  <c r="AD55" i="10" a="1"/>
  <c r="AD55" i="10" s="1"/>
  <c r="AE56" i="10" a="1"/>
  <c r="AE56" i="10" s="1"/>
  <c r="AD56" i="10" a="1"/>
  <c r="AD56" i="10" s="1"/>
  <c r="AE57" i="10" a="1"/>
  <c r="AE57" i="10" s="1"/>
  <c r="AD57" i="10" a="1"/>
  <c r="AD57" i="10" s="1"/>
  <c r="AD59" i="10" a="1"/>
  <c r="AD59" i="10" s="1"/>
  <c r="AE59" i="10" a="1"/>
  <c r="AE59" i="10" s="1"/>
  <c r="AE60" i="10" a="1"/>
  <c r="AE60" i="10" s="1"/>
  <c r="AD60" i="10" a="1"/>
  <c r="AD60" i="10" s="1"/>
  <c r="AE61" i="10" a="1"/>
  <c r="AE61" i="10" s="1"/>
  <c r="AD61" i="10" a="1"/>
  <c r="AD61" i="10" s="1"/>
  <c r="AE62" i="10" a="1"/>
  <c r="AE62" i="10" s="1"/>
  <c r="AD62" i="10" a="1"/>
  <c r="AD62" i="10" s="1"/>
  <c r="AE64" i="10" a="1"/>
  <c r="AE64" i="10" s="1"/>
  <c r="AD64" i="10" a="1"/>
  <c r="AD64" i="10" s="1"/>
  <c r="AD68" i="10" a="1"/>
  <c r="AD68" i="10" s="1"/>
  <c r="AE68" i="10" a="1"/>
  <c r="AE68" i="10" s="1"/>
  <c r="AD69" i="10" a="1"/>
  <c r="AD69" i="10" s="1"/>
  <c r="AE69" i="10" a="1"/>
  <c r="AE69" i="10" s="1"/>
  <c r="AD70" i="10" a="1"/>
  <c r="AD70" i="10" s="1"/>
  <c r="AE70" i="10" a="1"/>
  <c r="AE70" i="10" s="1"/>
  <c r="AD71" i="10" a="1"/>
  <c r="AD71" i="10" s="1"/>
  <c r="AE71" i="10" a="1"/>
  <c r="AE71" i="10" s="1"/>
  <c r="AD74" i="10" a="1"/>
  <c r="AD74" i="10" s="1"/>
  <c r="AE74" i="10" a="1"/>
  <c r="AE74" i="10" s="1"/>
  <c r="AD76" i="10" a="1"/>
  <c r="AD76" i="10" s="1"/>
  <c r="AE76" i="10" a="1"/>
  <c r="AE76" i="10" s="1"/>
  <c r="AD78" i="10" a="1"/>
  <c r="AD78" i="10" s="1"/>
  <c r="AE78" i="10" a="1"/>
  <c r="AE78" i="10" s="1"/>
  <c r="AD79" i="10" a="1"/>
  <c r="AD79" i="10" s="1"/>
  <c r="AE79" i="10" a="1"/>
  <c r="AE79" i="10" s="1"/>
  <c r="AD80" i="10" a="1"/>
  <c r="AD80" i="10" s="1"/>
  <c r="AE80" i="10" a="1"/>
  <c r="AE80" i="10" s="1"/>
  <c r="AD81" i="10" a="1"/>
  <c r="AD81" i="10" s="1"/>
  <c r="AE81" i="10" a="1"/>
  <c r="AE81" i="10" s="1"/>
  <c r="AD82" i="10" a="1"/>
  <c r="AD82" i="10" s="1"/>
  <c r="AE82" i="10" a="1"/>
  <c r="AE82" i="10" s="1"/>
  <c r="AD84" i="10" a="1"/>
  <c r="AD84" i="10" s="1"/>
  <c r="AE84" i="10" a="1"/>
  <c r="AE84" i="10" s="1"/>
  <c r="AD85" i="10" a="1"/>
  <c r="AD85" i="10" s="1"/>
  <c r="AE85" i="10" a="1"/>
  <c r="AE85" i="10" s="1"/>
  <c r="AD86" i="10" a="1"/>
  <c r="AD86" i="10" s="1"/>
  <c r="AE86" i="10" a="1"/>
  <c r="AE86" i="10" s="1"/>
  <c r="AE87" i="10" a="1"/>
  <c r="AE87" i="10" s="1"/>
  <c r="AD87" i="10" a="1"/>
  <c r="AD87" i="10" s="1"/>
  <c r="AD88" i="10" a="1"/>
  <c r="AD88" i="10" s="1"/>
  <c r="AE88" i="10" a="1"/>
  <c r="AE88" i="10" s="1"/>
  <c r="AD89" i="10" a="1"/>
  <c r="AD89" i="10" s="1"/>
  <c r="AE89" i="10" a="1"/>
  <c r="AE89" i="10" s="1"/>
  <c r="AD90" i="10" a="1"/>
  <c r="AD90" i="10" s="1"/>
  <c r="AE90" i="10" a="1"/>
  <c r="AE90" i="10" s="1"/>
  <c r="AD91" i="10" a="1"/>
  <c r="AD91" i="10" s="1"/>
  <c r="AE91" i="10" a="1"/>
  <c r="AE91" i="10" s="1"/>
  <c r="AD92" i="10" a="1"/>
  <c r="AD92" i="10" s="1"/>
  <c r="AE92" i="10" a="1"/>
  <c r="AE92" i="10" s="1"/>
  <c r="AD93" i="10" a="1"/>
  <c r="AD93" i="10" s="1"/>
  <c r="AE93" i="10" a="1"/>
  <c r="AE93" i="10" s="1"/>
  <c r="AD94" i="10" a="1"/>
  <c r="AD94" i="10" s="1"/>
  <c r="AE94" i="10" a="1"/>
  <c r="AE94" i="10" s="1"/>
  <c r="AD95" i="10" a="1"/>
  <c r="AD95" i="10" s="1"/>
  <c r="AE95" i="10" a="1"/>
  <c r="AE95" i="10" s="1"/>
  <c r="AD96" i="10" a="1"/>
  <c r="AD96" i="10" s="1"/>
  <c r="AE96" i="10" a="1"/>
  <c r="AE96" i="10" s="1"/>
  <c r="AD97" i="10" a="1"/>
  <c r="AD97" i="10" s="1"/>
  <c r="AE97" i="10" a="1"/>
  <c r="AE97" i="10" s="1"/>
  <c r="AD98" i="10" a="1"/>
  <c r="AD98" i="10" s="1"/>
  <c r="AE98" i="10" a="1"/>
  <c r="AE98" i="10" s="1"/>
  <c r="AD99" i="10" a="1"/>
  <c r="AD99" i="10" s="1"/>
  <c r="AE99" i="10" a="1"/>
  <c r="AE99" i="10" s="1"/>
  <c r="AD100" i="10" a="1"/>
  <c r="AD100" i="10" s="1"/>
  <c r="AE100" i="10" a="1"/>
  <c r="AE100" i="10" s="1"/>
  <c r="AD101" i="10" a="1"/>
  <c r="AD101" i="10" s="1"/>
  <c r="AE101" i="10" a="1"/>
  <c r="AE101" i="10" s="1"/>
  <c r="AD102" i="10" a="1"/>
  <c r="AD102" i="10" s="1"/>
  <c r="AE102" i="10" a="1"/>
  <c r="AE102" i="10" s="1"/>
  <c r="AE103" i="10" a="1"/>
  <c r="AE103" i="10" s="1"/>
  <c r="AD103" i="10" a="1"/>
  <c r="AD103" i="10" s="1"/>
  <c r="AD104" i="10" a="1"/>
  <c r="AD104" i="10" s="1"/>
  <c r="AE104" i="10" a="1"/>
  <c r="AE104" i="10" s="1"/>
  <c r="AD105" i="10" a="1"/>
  <c r="AD105" i="10" s="1"/>
  <c r="AE105" i="10" a="1"/>
  <c r="AE105" i="10" s="1"/>
  <c r="AE106" i="10" a="1"/>
  <c r="AE106" i="10" s="1"/>
  <c r="AD106" i="10" a="1"/>
  <c r="AD106" i="10" s="1"/>
  <c r="AE108" i="10" a="1"/>
  <c r="AE108" i="10" s="1"/>
  <c r="AD108" i="10" a="1"/>
  <c r="AD108" i="10" s="1"/>
  <c r="AE109" i="10" a="1"/>
  <c r="AE109" i="10" s="1"/>
  <c r="AD109" i="10" a="1"/>
  <c r="AD109" i="10" s="1"/>
  <c r="AE110" i="10" a="1"/>
  <c r="AE110" i="10" s="1"/>
  <c r="AD110" i="10" a="1"/>
  <c r="AD110" i="10" s="1"/>
  <c r="AE111" i="10" a="1"/>
  <c r="AE111" i="10" s="1"/>
  <c r="AD111" i="10" a="1"/>
  <c r="AD111" i="10" s="1"/>
  <c r="AD112" i="10" a="1"/>
  <c r="AD112" i="10" s="1"/>
  <c r="AE112" i="10" a="1"/>
  <c r="AE112" i="10" s="1"/>
  <c r="AE113" i="10" a="1"/>
  <c r="AE113" i="10" s="1"/>
  <c r="AD113" i="10" a="1"/>
  <c r="AD113" i="10" s="1"/>
  <c r="AD114" i="10" a="1"/>
  <c r="AD114" i="10" s="1"/>
  <c r="AE114" i="10" a="1"/>
  <c r="AE114" i="10" s="1"/>
  <c r="AD115" i="10" a="1"/>
  <c r="AD115" i="10" s="1"/>
  <c r="AE115" i="10" a="1"/>
  <c r="AE115" i="10" s="1"/>
  <c r="AE116" i="10" a="1"/>
  <c r="AE116" i="10" s="1"/>
  <c r="AD116" i="10" a="1"/>
  <c r="AD116" i="10" s="1"/>
  <c r="AD117" i="10" a="1"/>
  <c r="AD117" i="10" s="1"/>
  <c r="AE117" i="10" a="1"/>
  <c r="AE117" i="10" s="1"/>
  <c r="AE2" i="10" a="1"/>
  <c r="AE2" i="10" s="1"/>
  <c r="AD142" i="10" a="1"/>
  <c r="AD142" i="10" s="1"/>
  <c r="AE142" i="10" a="1"/>
  <c r="AE142" i="10" s="1"/>
  <c r="AD143" i="10" a="1"/>
  <c r="AD143" i="10" s="1"/>
  <c r="AE143" i="10" a="1"/>
  <c r="AE143" i="10" s="1"/>
  <c r="AD144" i="10" a="1"/>
  <c r="AD144" i="10" s="1"/>
  <c r="AE144" i="10" a="1"/>
  <c r="AE144" i="10" s="1"/>
  <c r="AD145" i="10" a="1"/>
  <c r="AD145" i="10" s="1"/>
  <c r="AE145" i="10" a="1"/>
  <c r="AE145" i="10" s="1"/>
  <c r="AE146" i="10" a="1"/>
  <c r="AE146" i="10" s="1"/>
  <c r="AD146" i="10" a="1"/>
  <c r="AD146" i="10" s="1"/>
  <c r="AE147" i="10" a="1"/>
  <c r="AE147" i="10" s="1"/>
  <c r="AD147" i="10" a="1"/>
  <c r="AD147" i="10" s="1"/>
  <c r="AD148" i="10" a="1"/>
  <c r="AD148" i="10" s="1"/>
  <c r="AE148" i="10" a="1"/>
  <c r="AE148" i="10" s="1"/>
  <c r="AE149" i="10" a="1"/>
  <c r="AE149" i="10" s="1"/>
  <c r="AD149" i="10" a="1"/>
  <c r="AD149" i="10" s="1"/>
  <c r="AE150" i="10" a="1"/>
  <c r="AE150" i="10" s="1"/>
  <c r="AD150" i="10" a="1"/>
  <c r="AD150" i="10" s="1"/>
  <c r="AE66" i="10" a="1"/>
  <c r="AE66" i="10" s="1"/>
  <c r="AE65" i="10" a="1"/>
  <c r="AE65" i="10" s="1"/>
  <c r="AE169" i="10" a="1"/>
  <c r="AE169" i="10" s="1"/>
  <c r="AE170" i="10" a="1"/>
  <c r="AE170" i="10" s="1"/>
  <c r="AE171" i="10" a="1"/>
  <c r="AE171" i="10" s="1"/>
  <c r="H2" i="4"/>
  <c r="I2" i="4" s="1"/>
  <c r="F18" i="4"/>
  <c r="G18" i="4"/>
  <c r="F25" i="4"/>
  <c r="G25" i="4"/>
  <c r="G22" i="4"/>
  <c r="F22" i="4"/>
  <c r="F14" i="4"/>
  <c r="G14" i="4"/>
  <c r="F17" i="4"/>
  <c r="G17" i="4"/>
  <c r="G16" i="4"/>
  <c r="F16" i="4"/>
  <c r="F4" i="4"/>
  <c r="G4" i="4"/>
  <c r="F3" i="4"/>
  <c r="G3" i="4"/>
  <c r="G9" i="4"/>
  <c r="F9" i="4"/>
  <c r="F6" i="4"/>
  <c r="G6" i="4"/>
  <c r="G10" i="4"/>
  <c r="F10" i="4"/>
  <c r="F20" i="4"/>
  <c r="G20" i="4"/>
  <c r="F8" i="4"/>
  <c r="G8" i="4"/>
  <c r="G12" i="4"/>
  <c r="F12" i="4"/>
  <c r="G23" i="4"/>
  <c r="F23" i="4"/>
  <c r="F19" i="4"/>
  <c r="G19" i="4"/>
  <c r="G24" i="4"/>
  <c r="F24" i="4"/>
  <c r="F13" i="4"/>
  <c r="G15" i="4"/>
  <c r="F15" i="4"/>
  <c r="G5" i="4"/>
  <c r="F5" i="4"/>
  <c r="F21" i="4"/>
  <c r="G21" i="4"/>
  <c r="H21" i="4"/>
  <c r="H22" i="4"/>
  <c r="I22" i="4" s="1"/>
  <c r="H14" i="4"/>
  <c r="I14" i="4" s="1"/>
  <c r="H16" i="4"/>
  <c r="I16" i="4" s="1"/>
  <c r="H9" i="4"/>
  <c r="I9" i="4" s="1"/>
  <c r="H20" i="4"/>
  <c r="I20" i="4" s="1"/>
  <c r="H17" i="4"/>
  <c r="I17" i="4" s="1"/>
  <c r="H4" i="4"/>
  <c r="I4" i="4" s="1"/>
  <c r="H3" i="4"/>
  <c r="I3" i="4" s="1"/>
  <c r="H8" i="4"/>
  <c r="I8" i="4" s="1"/>
  <c r="H19" i="4"/>
  <c r="I19" i="4" s="1"/>
  <c r="M27" i="10"/>
  <c r="M28" i="10"/>
  <c r="M29" i="10"/>
  <c r="M30" i="10"/>
  <c r="M31" i="10"/>
  <c r="M62" i="10"/>
  <c r="M69" i="10"/>
  <c r="M70" i="10"/>
  <c r="M71" i="10"/>
  <c r="M72" i="10"/>
  <c r="M148" i="10"/>
  <c r="M149" i="10"/>
  <c r="M150" i="10"/>
  <c r="M151" i="10"/>
  <c r="M152" i="10"/>
  <c r="M153" i="10"/>
  <c r="M154" i="10"/>
  <c r="M155" i="10"/>
  <c r="M156" i="10"/>
  <c r="M157" i="10"/>
  <c r="M158" i="10"/>
  <c r="M159" i="10"/>
  <c r="M160" i="10"/>
  <c r="M161" i="10"/>
  <c r="M162" i="10"/>
  <c r="M163" i="10"/>
  <c r="M164" i="10"/>
  <c r="M2" i="10"/>
  <c r="M134" i="10"/>
  <c r="M135" i="10"/>
  <c r="M136" i="10"/>
  <c r="M137" i="10"/>
  <c r="M138" i="10"/>
  <c r="M139" i="10"/>
  <c r="M140" i="10"/>
  <c r="M141" i="10"/>
  <c r="M142" i="10"/>
  <c r="M143" i="10"/>
  <c r="M144" i="10"/>
  <c r="M145" i="10"/>
  <c r="M146" i="10"/>
  <c r="M147" i="10"/>
  <c r="M60" i="10"/>
  <c r="M61" i="10"/>
  <c r="M67" i="10"/>
  <c r="M68" i="10"/>
  <c r="M101" i="10"/>
  <c r="M102" i="10"/>
  <c r="M104" i="10"/>
  <c r="M106" i="10"/>
  <c r="M107" i="10"/>
  <c r="M108" i="10"/>
  <c r="M109" i="10"/>
  <c r="M110" i="10"/>
  <c r="M111" i="10"/>
  <c r="M112" i="10"/>
  <c r="M113" i="10"/>
  <c r="M114" i="10"/>
  <c r="M63" i="10"/>
  <c r="M64" i="10"/>
  <c r="M65" i="10"/>
  <c r="M66" i="10"/>
  <c r="M73" i="10"/>
  <c r="M74" i="10"/>
  <c r="M75" i="10"/>
  <c r="M76" i="10"/>
  <c r="M105" i="10"/>
  <c r="M25" i="10"/>
  <c r="M26" i="10"/>
  <c r="M132" i="10"/>
  <c r="M133" i="10"/>
  <c r="M103" i="10"/>
  <c r="M24" i="10"/>
  <c r="M99" i="10"/>
  <c r="M100" i="10"/>
  <c r="M95" i="10"/>
  <c r="M96" i="10"/>
  <c r="M97" i="10"/>
  <c r="M98" i="10"/>
  <c r="M16" i="10"/>
  <c r="M17" i="10"/>
  <c r="M18" i="10"/>
  <c r="M19" i="10"/>
  <c r="M20" i="10"/>
  <c r="M21" i="10"/>
  <c r="M22" i="10"/>
  <c r="M23" i="10"/>
  <c r="M129" i="10"/>
  <c r="M130" i="10"/>
  <c r="M131" i="10"/>
  <c r="M77" i="10"/>
  <c r="M78" i="10"/>
  <c r="M79" i="10"/>
  <c r="M80" i="10"/>
  <c r="M81" i="10"/>
  <c r="M82" i="10"/>
  <c r="M83" i="10"/>
  <c r="M84" i="10"/>
  <c r="M85" i="10"/>
  <c r="M86" i="10"/>
  <c r="M87" i="10"/>
  <c r="M88" i="10"/>
  <c r="M89" i="10"/>
  <c r="M90" i="10"/>
  <c r="M91" i="10"/>
  <c r="M92" i="10"/>
  <c r="M93" i="10"/>
  <c r="M94" i="10"/>
  <c r="M3" i="10"/>
  <c r="M4" i="10"/>
  <c r="M5" i="10"/>
  <c r="M6" i="10"/>
  <c r="M7" i="10"/>
  <c r="M8" i="10"/>
  <c r="M9" i="10"/>
  <c r="M10" i="10"/>
  <c r="M11" i="10"/>
  <c r="M12" i="10"/>
  <c r="M13" i="10"/>
  <c r="M14" i="10"/>
  <c r="M15" i="10"/>
  <c r="M32" i="10"/>
  <c r="M33" i="10"/>
  <c r="M34" i="10"/>
  <c r="D14" i="21" s="1"/>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115" i="10"/>
  <c r="M116" i="10"/>
  <c r="M117" i="10"/>
  <c r="M118" i="10"/>
  <c r="M119" i="10"/>
  <c r="M120" i="10"/>
  <c r="M121" i="10"/>
  <c r="M122" i="10"/>
  <c r="D5" i="15" s="1"/>
  <c r="M123" i="10"/>
  <c r="M124" i="10"/>
  <c r="M125" i="10"/>
  <c r="M126" i="10"/>
  <c r="D30" i="21" s="1"/>
  <c r="M127" i="10"/>
  <c r="M128" i="10"/>
  <c r="P6" i="15" l="1"/>
  <c r="P10" i="15"/>
  <c r="S15" i="21"/>
  <c r="AL5" i="21"/>
  <c r="AL2" i="21"/>
  <c r="AL3" i="21"/>
  <c r="G24" i="21"/>
  <c r="W31" i="21"/>
  <c r="M21" i="21"/>
  <c r="M8" i="21"/>
  <c r="AC25" i="21"/>
  <c r="M19" i="21"/>
  <c r="AC27" i="21"/>
  <c r="J23" i="21"/>
  <c r="AC23" i="21"/>
  <c r="AC7" i="21"/>
  <c r="AC10" i="21"/>
  <c r="AC18" i="21"/>
  <c r="AC11" i="21"/>
  <c r="AC12" i="21"/>
  <c r="AC4" i="21"/>
  <c r="AC24" i="21"/>
  <c r="W15" i="21"/>
  <c r="G8" i="21"/>
  <c r="AC8" i="21"/>
  <c r="G9" i="21"/>
  <c r="AC9" i="21"/>
  <c r="G6" i="21"/>
  <c r="AC6" i="21"/>
  <c r="G19" i="21"/>
  <c r="AC19" i="21"/>
  <c r="G22" i="21"/>
  <c r="AC22" i="21"/>
  <c r="G20" i="21"/>
  <c r="AC20" i="21"/>
  <c r="AD20" i="21" s="1"/>
  <c r="G21" i="21"/>
  <c r="AC21" i="21"/>
  <c r="G28" i="21"/>
  <c r="AC28" i="21"/>
  <c r="AD28" i="21" s="1"/>
  <c r="G26" i="21"/>
  <c r="AC26" i="21"/>
  <c r="U31" i="21"/>
  <c r="Q31" i="21"/>
  <c r="P26" i="12"/>
  <c r="P14" i="15"/>
  <c r="P30" i="12"/>
  <c r="S31" i="21"/>
  <c r="P21" i="12"/>
  <c r="P3" i="15"/>
  <c r="T31" i="21"/>
  <c r="P18" i="15"/>
  <c r="P21" i="21"/>
  <c r="P4" i="15"/>
  <c r="P14" i="21"/>
  <c r="Y14" i="21" s="1"/>
  <c r="R31" i="21"/>
  <c r="P26" i="15"/>
  <c r="P18" i="12"/>
  <c r="P4" i="21"/>
  <c r="P9" i="15"/>
  <c r="P30" i="15"/>
  <c r="X31" i="21"/>
  <c r="P22" i="21"/>
  <c r="G27" i="21"/>
  <c r="P24" i="12"/>
  <c r="P24" i="15"/>
  <c r="P8" i="15"/>
  <c r="P2" i="15"/>
  <c r="P23" i="12"/>
  <c r="P30" i="21"/>
  <c r="Y30" i="21" s="1"/>
  <c r="G10" i="21"/>
  <c r="M13" i="21"/>
  <c r="J13" i="21"/>
  <c r="G13" i="21"/>
  <c r="G12" i="21"/>
  <c r="J12" i="21"/>
  <c r="M3" i="21"/>
  <c r="G25" i="21"/>
  <c r="M24" i="21"/>
  <c r="Q15" i="12"/>
  <c r="P12" i="21"/>
  <c r="P5" i="21"/>
  <c r="G29" i="21"/>
  <c r="P28" i="21"/>
  <c r="D13" i="12"/>
  <c r="D13" i="15"/>
  <c r="D10" i="12"/>
  <c r="Y10" i="12" s="1"/>
  <c r="D10" i="15"/>
  <c r="Y10" i="15" s="1"/>
  <c r="D6" i="12"/>
  <c r="D6" i="15"/>
  <c r="Y6" i="15" s="1"/>
  <c r="D12" i="21"/>
  <c r="D12" i="12"/>
  <c r="D12" i="15"/>
  <c r="O31" i="21"/>
  <c r="P8" i="21"/>
  <c r="O15" i="21"/>
  <c r="P23" i="21"/>
  <c r="G23" i="21"/>
  <c r="J3" i="21"/>
  <c r="J4" i="21"/>
  <c r="Y11" i="21"/>
  <c r="Y7" i="21"/>
  <c r="I12" i="4"/>
  <c r="J12" i="4" s="1"/>
  <c r="C28" i="15"/>
  <c r="D28" i="15"/>
  <c r="D25" i="15"/>
  <c r="D27" i="15"/>
  <c r="D19" i="15"/>
  <c r="D5" i="12"/>
  <c r="P18" i="21"/>
  <c r="N31" i="21"/>
  <c r="AA7" i="21"/>
  <c r="G7" i="21"/>
  <c r="AA11" i="21"/>
  <c r="G11" i="21"/>
  <c r="P24" i="21"/>
  <c r="T15" i="21"/>
  <c r="P20" i="15"/>
  <c r="P9" i="21"/>
  <c r="P14" i="12"/>
  <c r="P23" i="15"/>
  <c r="H15" i="21"/>
  <c r="K31" i="21"/>
  <c r="I24" i="4"/>
  <c r="J24" i="4" s="1"/>
  <c r="P25" i="15"/>
  <c r="P25" i="12"/>
  <c r="P27" i="12"/>
  <c r="P27" i="15"/>
  <c r="P22" i="15"/>
  <c r="P22" i="12"/>
  <c r="P28" i="15"/>
  <c r="P28" i="12"/>
  <c r="C20" i="21"/>
  <c r="C14" i="21"/>
  <c r="P20" i="12"/>
  <c r="P3" i="21"/>
  <c r="K15" i="21"/>
  <c r="P21" i="15"/>
  <c r="P20" i="21"/>
  <c r="N15" i="21"/>
  <c r="P2" i="21"/>
  <c r="AB23" i="21"/>
  <c r="Z23" i="21"/>
  <c r="M23" i="21"/>
  <c r="L31" i="21"/>
  <c r="AB21" i="21"/>
  <c r="Z21" i="21"/>
  <c r="Z2" i="21"/>
  <c r="AB2" i="21"/>
  <c r="G2" i="21"/>
  <c r="F15" i="21"/>
  <c r="J2" i="21"/>
  <c r="I15" i="21"/>
  <c r="L15" i="21"/>
  <c r="M2" i="21"/>
  <c r="G3" i="21"/>
  <c r="AB3" i="21"/>
  <c r="Z3" i="21"/>
  <c r="Z4" i="21"/>
  <c r="AB4" i="21"/>
  <c r="G4" i="21"/>
  <c r="E15" i="21"/>
  <c r="Z5" i="21"/>
  <c r="G5" i="21"/>
  <c r="AB5" i="21"/>
  <c r="G18" i="21"/>
  <c r="F31" i="21"/>
  <c r="I31" i="21"/>
  <c r="J18" i="21"/>
  <c r="D22" i="21"/>
  <c r="D22" i="15"/>
  <c r="I23" i="4"/>
  <c r="J23" i="4" s="1"/>
  <c r="I25" i="4"/>
  <c r="J25" i="4" s="1"/>
  <c r="J6" i="15"/>
  <c r="C22" i="15"/>
  <c r="C29" i="21"/>
  <c r="C26" i="21"/>
  <c r="C21" i="21"/>
  <c r="C4" i="21"/>
  <c r="C10" i="21"/>
  <c r="C3" i="21"/>
  <c r="C9" i="21"/>
  <c r="C6" i="21"/>
  <c r="D28" i="21"/>
  <c r="D2" i="21"/>
  <c r="D26" i="21"/>
  <c r="D18" i="21"/>
  <c r="D10" i="21"/>
  <c r="D3" i="21"/>
  <c r="D24" i="21"/>
  <c r="I15" i="4"/>
  <c r="J15" i="4" s="1"/>
  <c r="C24" i="21"/>
  <c r="C8" i="21"/>
  <c r="C12" i="21"/>
  <c r="C2" i="21"/>
  <c r="C27" i="21"/>
  <c r="C23" i="21"/>
  <c r="C28" i="21"/>
  <c r="C13" i="21"/>
  <c r="C19" i="21"/>
  <c r="C5" i="21"/>
  <c r="C25" i="21"/>
  <c r="D23" i="21"/>
  <c r="D19" i="21"/>
  <c r="D21" i="21"/>
  <c r="D6" i="21"/>
  <c r="D8" i="21"/>
  <c r="I18" i="4"/>
  <c r="J18" i="4" s="1"/>
  <c r="D25" i="21"/>
  <c r="AD25" i="21" s="1"/>
  <c r="D27" i="21"/>
  <c r="AD27" i="21" s="1"/>
  <c r="D13" i="21"/>
  <c r="D5" i="21"/>
  <c r="D4" i="21"/>
  <c r="D9" i="21"/>
  <c r="P5" i="15"/>
  <c r="Y5" i="15" s="1"/>
  <c r="C18" i="21"/>
  <c r="Z28" i="21"/>
  <c r="AB28" i="21"/>
  <c r="Z27" i="21"/>
  <c r="AB27" i="21"/>
  <c r="Z30" i="21"/>
  <c r="AB30" i="21"/>
  <c r="Z29" i="21"/>
  <c r="AB29" i="21"/>
  <c r="Z25" i="21"/>
  <c r="AB25" i="21"/>
  <c r="Z26" i="21"/>
  <c r="AB26" i="21"/>
  <c r="Z24" i="21"/>
  <c r="AB24" i="21"/>
  <c r="E31" i="21"/>
  <c r="N15" i="15"/>
  <c r="M13" i="15"/>
  <c r="D26" i="15"/>
  <c r="D21" i="15"/>
  <c r="D24" i="15"/>
  <c r="H31" i="21"/>
  <c r="J31" i="21" s="1"/>
  <c r="I5" i="4"/>
  <c r="J5" i="4" s="1"/>
  <c r="I6" i="4"/>
  <c r="J6" i="4" s="1"/>
  <c r="I10" i="4"/>
  <c r="J10" i="4" s="1"/>
  <c r="D23" i="15"/>
  <c r="D18" i="15"/>
  <c r="I13" i="4"/>
  <c r="J13" i="4" s="1"/>
  <c r="D29" i="15"/>
  <c r="D29" i="21"/>
  <c r="AD29" i="21" s="1"/>
  <c r="D20" i="15"/>
  <c r="D20" i="21"/>
  <c r="AA14" i="21"/>
  <c r="AA30" i="21"/>
  <c r="C18" i="15"/>
  <c r="C10" i="15"/>
  <c r="C26" i="15"/>
  <c r="C21" i="15"/>
  <c r="C20" i="15"/>
  <c r="C4" i="15"/>
  <c r="C3" i="15"/>
  <c r="C9" i="15"/>
  <c r="C24" i="15"/>
  <c r="C8" i="15"/>
  <c r="C2" i="15"/>
  <c r="C23" i="15"/>
  <c r="C25" i="15"/>
  <c r="C13" i="15"/>
  <c r="C12" i="15"/>
  <c r="C27" i="15"/>
  <c r="C19" i="15"/>
  <c r="C14" i="15"/>
  <c r="I21" i="4"/>
  <c r="J21" i="4" s="1"/>
  <c r="D2" i="12"/>
  <c r="D2" i="15"/>
  <c r="D4" i="15"/>
  <c r="D4" i="12"/>
  <c r="D3" i="15"/>
  <c r="D3" i="12"/>
  <c r="D9" i="15"/>
  <c r="D9" i="12"/>
  <c r="D14" i="12"/>
  <c r="D14" i="15"/>
  <c r="D8" i="12"/>
  <c r="Y8" i="12" s="1"/>
  <c r="D8" i="15"/>
  <c r="D30" i="12"/>
  <c r="Y30" i="12" s="1"/>
  <c r="D30" i="15"/>
  <c r="Q31" i="15"/>
  <c r="C5" i="15"/>
  <c r="C29" i="15"/>
  <c r="C6" i="15"/>
  <c r="J12" i="15"/>
  <c r="G12" i="12"/>
  <c r="G9" i="12"/>
  <c r="J6" i="12"/>
  <c r="Q31" i="12"/>
  <c r="X31" i="15"/>
  <c r="X31" i="12"/>
  <c r="X15" i="15"/>
  <c r="X15" i="12"/>
  <c r="T31" i="12"/>
  <c r="R31" i="12"/>
  <c r="R15" i="12"/>
  <c r="N31" i="15"/>
  <c r="P29" i="12"/>
  <c r="P29" i="15"/>
  <c r="M23" i="15"/>
  <c r="J4" i="12"/>
  <c r="U15" i="12"/>
  <c r="T31" i="15"/>
  <c r="R15" i="15"/>
  <c r="N31" i="12"/>
  <c r="U15" i="15"/>
  <c r="W31" i="15"/>
  <c r="W15" i="15"/>
  <c r="T15" i="12"/>
  <c r="R31" i="15"/>
  <c r="Q15" i="15"/>
  <c r="W31" i="12"/>
  <c r="U31" i="15"/>
  <c r="T15" i="15"/>
  <c r="P19" i="12"/>
  <c r="O31" i="12"/>
  <c r="W15" i="12"/>
  <c r="U31" i="12"/>
  <c r="S15" i="15"/>
  <c r="S31" i="15"/>
  <c r="S15" i="12"/>
  <c r="S31" i="12"/>
  <c r="P13" i="15"/>
  <c r="P12" i="12"/>
  <c r="P13" i="12"/>
  <c r="P19" i="15"/>
  <c r="O31" i="15"/>
  <c r="P12" i="15"/>
  <c r="O15" i="15"/>
  <c r="M21" i="15"/>
  <c r="J23" i="15"/>
  <c r="M24" i="15"/>
  <c r="E31" i="12"/>
  <c r="H31" i="15"/>
  <c r="H31" i="12"/>
  <c r="G27" i="12"/>
  <c r="G25" i="12"/>
  <c r="G24" i="12"/>
  <c r="G23" i="12"/>
  <c r="G22" i="12"/>
  <c r="G21" i="12"/>
  <c r="G19" i="12"/>
  <c r="J23" i="12"/>
  <c r="J19" i="12"/>
  <c r="M23" i="12"/>
  <c r="M21" i="12"/>
  <c r="M19" i="12"/>
  <c r="M13" i="12"/>
  <c r="P5" i="12"/>
  <c r="P9" i="12"/>
  <c r="J13" i="12"/>
  <c r="M24" i="12"/>
  <c r="L31" i="12"/>
  <c r="K31" i="15"/>
  <c r="M3" i="15"/>
  <c r="J4" i="15"/>
  <c r="G12" i="15"/>
  <c r="G10" i="15"/>
  <c r="E31" i="15"/>
  <c r="G13" i="15"/>
  <c r="G5" i="15"/>
  <c r="K31" i="12"/>
  <c r="M18" i="12"/>
  <c r="I31" i="12"/>
  <c r="J18" i="12"/>
  <c r="G3" i="15"/>
  <c r="G4" i="15"/>
  <c r="G27" i="15"/>
  <c r="G6" i="15"/>
  <c r="M19" i="15"/>
  <c r="G24" i="15"/>
  <c r="K15" i="15"/>
  <c r="G25" i="15"/>
  <c r="G29" i="15"/>
  <c r="I15" i="15"/>
  <c r="M8" i="12"/>
  <c r="G6" i="12"/>
  <c r="H15" i="15"/>
  <c r="J3" i="15"/>
  <c r="E15" i="15"/>
  <c r="M8" i="15"/>
  <c r="G9" i="15"/>
  <c r="G30" i="12"/>
  <c r="F31" i="12"/>
  <c r="G18" i="12"/>
  <c r="G22" i="15"/>
  <c r="G14" i="15"/>
  <c r="F31" i="15"/>
  <c r="G18" i="15"/>
  <c r="G19" i="15"/>
  <c r="G23" i="15"/>
  <c r="G26" i="15"/>
  <c r="M2" i="15"/>
  <c r="L15" i="15"/>
  <c r="L31" i="15"/>
  <c r="M18" i="15"/>
  <c r="G21" i="15"/>
  <c r="G30" i="15"/>
  <c r="G2" i="15"/>
  <c r="F15" i="15"/>
  <c r="G11" i="15"/>
  <c r="Y11" i="15"/>
  <c r="G7" i="15"/>
  <c r="Y7" i="15"/>
  <c r="J18" i="15"/>
  <c r="I31" i="15"/>
  <c r="G20" i="15"/>
  <c r="G28" i="15"/>
  <c r="G8" i="15"/>
  <c r="L15" i="12"/>
  <c r="P6" i="12"/>
  <c r="K15" i="12"/>
  <c r="J12" i="12"/>
  <c r="H15" i="12"/>
  <c r="P4" i="12"/>
  <c r="G10" i="12"/>
  <c r="I15" i="12"/>
  <c r="J15" i="12" s="1"/>
  <c r="E15" i="12"/>
  <c r="P2" i="12"/>
  <c r="O15" i="12"/>
  <c r="P3" i="12"/>
  <c r="N15" i="12"/>
  <c r="G11" i="12"/>
  <c r="Y11" i="12"/>
  <c r="G3" i="12"/>
  <c r="F15" i="12"/>
  <c r="Y7" i="12"/>
  <c r="G7" i="12"/>
  <c r="G14" i="12"/>
  <c r="G13" i="12"/>
  <c r="M3" i="12"/>
  <c r="G5" i="12"/>
  <c r="J3" i="12"/>
  <c r="G4" i="12"/>
  <c r="J2" i="4"/>
  <c r="L2" i="4" s="1"/>
  <c r="M2" i="12"/>
  <c r="J2" i="12"/>
  <c r="G2" i="12"/>
  <c r="C14" i="12"/>
  <c r="D23" i="12"/>
  <c r="D28" i="12"/>
  <c r="D25" i="12"/>
  <c r="D22" i="12"/>
  <c r="D29" i="12"/>
  <c r="D27" i="12"/>
  <c r="D19" i="12"/>
  <c r="D26" i="12"/>
  <c r="D18" i="12"/>
  <c r="D21" i="12"/>
  <c r="D20" i="12"/>
  <c r="D24" i="12"/>
  <c r="J14" i="4"/>
  <c r="C22" i="12"/>
  <c r="C21" i="12"/>
  <c r="J16" i="4"/>
  <c r="J3" i="4"/>
  <c r="J8" i="4"/>
  <c r="J19" i="4"/>
  <c r="J4" i="4"/>
  <c r="J20" i="4"/>
  <c r="J9" i="4"/>
  <c r="J22" i="4"/>
  <c r="J17" i="4"/>
  <c r="C28" i="12"/>
  <c r="C19" i="12"/>
  <c r="C29" i="12"/>
  <c r="C26" i="12"/>
  <c r="C20" i="12"/>
  <c r="C4" i="12"/>
  <c r="C10" i="12"/>
  <c r="C3" i="12"/>
  <c r="C9" i="12"/>
  <c r="C6" i="12"/>
  <c r="C23" i="12"/>
  <c r="C24" i="12"/>
  <c r="C8" i="12"/>
  <c r="C12" i="12"/>
  <c r="C2" i="12"/>
  <c r="C27" i="12"/>
  <c r="C13" i="12"/>
  <c r="C5" i="12"/>
  <c r="C25" i="12"/>
  <c r="C18" i="12"/>
  <c r="AM5" i="21" l="1"/>
  <c r="AN5" i="21"/>
  <c r="AN2" i="21"/>
  <c r="AM2" i="21"/>
  <c r="AN6" i="21"/>
  <c r="AM6" i="21"/>
  <c r="AN3" i="21"/>
  <c r="AM3" i="21"/>
  <c r="P15" i="12"/>
  <c r="AD24" i="21"/>
  <c r="AD23" i="21"/>
  <c r="M31" i="21"/>
  <c r="AC31" i="21"/>
  <c r="AD22" i="21"/>
  <c r="AD21" i="21"/>
  <c r="AD19" i="21"/>
  <c r="AD26" i="21"/>
  <c r="Y26" i="15"/>
  <c r="Y21" i="15"/>
  <c r="Y24" i="15"/>
  <c r="Y23" i="15"/>
  <c r="Y18" i="15"/>
  <c r="Y4" i="15"/>
  <c r="Y3" i="15"/>
  <c r="Y9" i="15"/>
  <c r="Y14" i="15"/>
  <c r="Y8" i="15"/>
  <c r="Y13" i="15"/>
  <c r="Y26" i="12"/>
  <c r="Y21" i="12"/>
  <c r="Y24" i="12"/>
  <c r="Y23" i="12"/>
  <c r="Y12" i="21"/>
  <c r="AA12" i="21"/>
  <c r="Y25" i="15"/>
  <c r="Y27" i="15"/>
  <c r="Y28" i="15"/>
  <c r="P15" i="21"/>
  <c r="Y14" i="12"/>
  <c r="Y12" i="12"/>
  <c r="Y13" i="12"/>
  <c r="Y19" i="15"/>
  <c r="Y12" i="15"/>
  <c r="Y6" i="12"/>
  <c r="P31" i="21"/>
  <c r="J15" i="21"/>
  <c r="M15" i="21"/>
  <c r="Y22" i="15"/>
  <c r="Y20" i="15"/>
  <c r="Y5" i="12"/>
  <c r="Y22" i="12"/>
  <c r="Y19" i="12"/>
  <c r="Y20" i="12"/>
  <c r="Y28" i="12"/>
  <c r="Y25" i="12"/>
  <c r="Y27" i="12"/>
  <c r="Y22" i="21"/>
  <c r="AA22" i="21"/>
  <c r="C31" i="21"/>
  <c r="C15" i="21"/>
  <c r="G15" i="21"/>
  <c r="Z15" i="21"/>
  <c r="AB15" i="21"/>
  <c r="Y29" i="15"/>
  <c r="P15" i="15"/>
  <c r="D31" i="21"/>
  <c r="Y28" i="21"/>
  <c r="AA28" i="21"/>
  <c r="AA2" i="21"/>
  <c r="Y2" i="21"/>
  <c r="D15" i="21"/>
  <c r="Y26" i="21"/>
  <c r="AA26" i="21"/>
  <c r="Y18" i="21"/>
  <c r="AA18" i="21"/>
  <c r="AA10" i="21"/>
  <c r="Y10" i="21"/>
  <c r="AA3" i="21"/>
  <c r="Y3" i="21"/>
  <c r="AA24" i="21"/>
  <c r="Y24" i="21"/>
  <c r="AA23" i="21"/>
  <c r="Y23" i="21"/>
  <c r="AA19" i="21"/>
  <c r="Y19" i="21"/>
  <c r="Y21" i="21"/>
  <c r="AA21" i="21"/>
  <c r="AA6" i="21"/>
  <c r="Y6" i="21"/>
  <c r="Y8" i="21"/>
  <c r="AA8" i="21"/>
  <c r="AA25" i="21"/>
  <c r="Y25" i="21"/>
  <c r="AA27" i="21"/>
  <c r="Y27" i="21"/>
  <c r="Y13" i="21"/>
  <c r="AA13" i="21"/>
  <c r="Y5" i="21"/>
  <c r="AA5" i="21"/>
  <c r="Y4" i="21"/>
  <c r="AA4" i="21"/>
  <c r="AA9" i="21"/>
  <c r="Y9" i="21"/>
  <c r="G31" i="21"/>
  <c r="Z31" i="21"/>
  <c r="AB31" i="21"/>
  <c r="Y29" i="21"/>
  <c r="AA29" i="21"/>
  <c r="AA20" i="21"/>
  <c r="Y20" i="21"/>
  <c r="D15" i="12"/>
  <c r="C31" i="15"/>
  <c r="Y9" i="12"/>
  <c r="Y4" i="12"/>
  <c r="Y2" i="12"/>
  <c r="Y3" i="12"/>
  <c r="Y2" i="15"/>
  <c r="D15" i="15"/>
  <c r="D31" i="15"/>
  <c r="Y30" i="15"/>
  <c r="C15" i="15"/>
  <c r="P31" i="12"/>
  <c r="P31" i="15"/>
  <c r="Y29" i="12"/>
  <c r="G31" i="12"/>
  <c r="J31" i="15"/>
  <c r="J31" i="12"/>
  <c r="G15" i="12"/>
  <c r="M31" i="12"/>
  <c r="G15" i="15"/>
  <c r="G31" i="15"/>
  <c r="J15" i="15"/>
  <c r="M15" i="15"/>
  <c r="M31" i="15"/>
  <c r="M15" i="12"/>
  <c r="D31" i="12"/>
  <c r="Y18" i="12"/>
  <c r="L18" i="4"/>
  <c r="C15" i="12"/>
  <c r="C16" i="12" s="1"/>
  <c r="L8" i="4"/>
  <c r="L9" i="4"/>
  <c r="L12" i="4"/>
  <c r="L17" i="4"/>
  <c r="L23" i="4"/>
  <c r="L20" i="4"/>
  <c r="L16" i="4"/>
  <c r="L4" i="4"/>
  <c r="L3" i="4"/>
  <c r="L6" i="4"/>
  <c r="L19" i="4"/>
  <c r="L24" i="4"/>
  <c r="L5" i="4"/>
  <c r="L13" i="4"/>
  <c r="C31" i="12"/>
  <c r="C32" i="12" s="1"/>
  <c r="L22" i="4"/>
  <c r="L21" i="4"/>
  <c r="L25" i="4"/>
  <c r="L10" i="4"/>
  <c r="L15" i="4"/>
  <c r="L14" i="4"/>
  <c r="Y15" i="12" l="1"/>
  <c r="AE15" i="21"/>
  <c r="AD31" i="21"/>
  <c r="AE31" i="21"/>
  <c r="AD15" i="21"/>
  <c r="AA15" i="21"/>
  <c r="Y15" i="21"/>
  <c r="Y15" i="15"/>
  <c r="AA31" i="21"/>
  <c r="Y31" i="21"/>
  <c r="Y31" i="15"/>
  <c r="Y31" i="12"/>
  <c r="M26" i="4"/>
  <c r="M27"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tc={3A388D8E-5770-4750-B8A0-FF84FEE1FA12}</author>
    <author>tc={6BEB023E-8D02-4B82-9BD0-BBB97083BF27}</author>
    <author>tc={D85CA54A-0122-48C1-ABEA-8D9A981E2BA8}</author>
    <author>tc={C86D6E9E-A49C-4C7A-B967-69D8C817ECD7}</author>
    <author>tc={BA8BF584-3C73-4128-AC86-A26B92934345}</author>
    <author>tc={98006BAD-64ED-4B1B-855A-51A6AB383296}</author>
  </authors>
  <commentList>
    <comment ref="H1" authorId="0" shapeId="0" xr:uid="{3A388D8E-5770-4750-B8A0-FF84FEE1FA1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Queremos ver si hay jugadores que no juegan ningún minuto en el cuarto.
Para ello, comprobamos si la primera entrada es distinta de cero
</t>
      </text>
    </comment>
    <comment ref="I1" authorId="1" shapeId="0" xr:uid="{6BEB023E-8D02-4B82-9BD0-BBB97083BF2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CONDICIÓN: Ver si la última entrada es posterior (valor de tiempo menor) que la última salida. 
Si un jgador no juega, tanto su última entrada como su última salida son 0, y la CONDICIÓN se cumple.  Hay que añadir verificación lógica adicional, puesto que hay jugadores que no juegan ningún minuto. Si no la añadieramos, aparecería como que los jugadores que no juegan ningún minuto, habrían terminado el cuarto, lo cual es erróneo (e imposible).
Por eso, además, además de la CONDICIÓN, verificamos que el jugador haya jugado algún minuto (Columna H=VERDADERO).
RESULTADO: Quedan 5 jugadores que acaban el cuarto, en cada equipo, luego es correcto. Los hemos marcado en color verde
</t>
      </text>
    </comment>
    <comment ref="J1" authorId="2" shapeId="0" xr:uid="{D85CA54A-0122-48C1-ABEA-8D9A981E2BA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Da el tiempo en pista durante el último subintervalo del cuarto de los jugadores que acaban el cuarto. 
Es decir, si el jugador:
-SÍ acaba el cuarto: Tiempo Última entrada - 00:00 (final de cuarto)
-NO acaba el cuarto: Devuelve 0 minutos
</t>
      </text>
    </comment>
    <comment ref="K1" authorId="3" shapeId="0" xr:uid="{C86D6E9E-A49C-4C7A-B967-69D8C817ECD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resto de subintervalos de tiempo de cada jugador ya lo habíamos calculado en la hoja anterior: Es la columna AD de la hoja 2 del excel.
Ahí, calculabamos última entrada-última salida de todos los jugadores, tanto los que acaban el cuarto, como los que no. Para los que no acaban el cuarto, la suma de estos tiempos es su tiempo total de juego. Para los que sí acaban el cuarto, falta añadir el último subintervalo, por lo que hay que sumar la columna  J.
Una solución más fácil es parametrizar/tagear los jugadores que acaban el cuarto en pista como un nuevo evento, “Finishing lineup”. 
De esta forma, con la correspondiente columna de la hoja del dataset, calculariamos TODOS los intervalos de todos los jugadores, y no habría que complicarse tanto.
Sin embargo, en el el play by play de la liga Endesa (al menos el que se muestra en la web), el acabar un cuarto en pista no se registra como evento.
Por este motivo, en primera instancia decidí no hacerlo de ese modo, y buscarme una manera alternativa, que es la que hemos mostrado en la hoja 3 del excel. Aunque es algo más largo, creo que me ha resultado útil para ver el funcionamiento interno de un boxscore y pelearme un poco con el Excel. Por eso he dejado esta primera vía en la entrega.
Sin embargo, considero que la segunda forma es MUCHO MÁS CLARA y replicable. 
Por ello, he incluido la versión simplificada en siguiente hoja, “4-BOXSCORE_1Q”. 
Así, he añadido al final de la hoja 2 del dataset los eventos de “Finishing Lineup”. De este modo, calculo todos los subintervalos de tiempo en pista de todos los jugadores de la misma manera. Ahora sí, esta versión es escalable, si en lugar de etiquetar un cuarto de un partido hubieramos tomado datos de un partido completo. 
De esta forma, con este mismo documento Excel, podríamos registrar el PlayByPlay de un partido completo, y construir el Boxscore de todo el partido. completo de un partido, con este mismo documento Excel. 
Con este método, podrían calcularse tanto las estadísticas por cuarto de cada jugador, como las estadísticas del partido completo. Y lo mismo sobre las estadísticas del equipo.
</t>
      </text>
    </comment>
    <comment ref="O1" authorId="4" shapeId="0" xr:uid="{BA8BF584-3C73-4128-AC86-A26B9293434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casilla O2 permite seleccionar el cuarto. 
De este modo, podemos calcular los minutos jugados por cada jugador en cada cuarto. Solo hemos tomado datos del primer cuarto. Por eso, hemos dejado esta casilla en el valor ‘1’. 
A modo de ver como se gestionaría un Play By Play completo (y el correspondiente BoxScore), se han añadido unos eventos de ejemplo en cada uno de los siguientes cuartos (2º, 3º y 4º). Solo jugadores iniciales y finales del cuarto, y un triple.
Puedes probar a cambiar la casilla O2 por un ‘2’, y ver el efecto sobre esta hoja de cálculo.
</t>
      </text>
    </comment>
    <comment ref="M25" authorId="5" shapeId="0" xr:uid="{98006BAD-64ED-4B1B-855A-51A6AB38329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TIEMPO TOTAL JUEGO DE UN CUARTO:
50 MINUTOS
10 min x 5 jugadores = 50 min 
Ambos equipos dan correcto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tc={26F2A9F4-E390-4AFB-9FB7-D067C1B5D17B}</author>
    <author>tc={0D295182-EE93-4BC8-8728-A8CABA422ED9}</author>
    <author>tc={DB498C45-7693-403D-9F64-48CDA552FD3E}</author>
  </authors>
  <commentList>
    <comment ref="AA1" authorId="0" shapeId="0" xr:uid="{26F2A9F4-E390-4AFB-9FB7-D067C1B5D17B}">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casilla inferior (AA2) permite seleccionar el cuarto del que se quieren calcular estadísticas. 
Solo hemos tomado datos del primer cuarto del partido. Si se cambia el ‘1’ por cualquier otro valor, verás como todas las stats se vuelven nulas.
EXTRA: Vamos a ver el funcionamiento del PlayByPlay de un partido completo. Para ello, añadimos  una jugada hipotética en cada cuarto del partido. Por ejemplo, un triple del jugador de manresa Dani Perez (nº 55). 
Vamos a simplificarlo, de modo que los jugadores que finalizaron en pista en el primer cuarto, juegan el resto del partido. Es decir, empiezan y acaban cada uno de los siguientes cuartos, y no hay cambios. Hemos incluido los eventos correspondientes en el dataset (Hoja 2 del documento), desde la línea 164 a la línea 242.
Así, si cambiamos la casilla AA2, que incluye el cuarto, por ‘2’, ‘3’ o ‘4’, podremos ver como se modifica el Boxscore.
La función clave en Excel para el boxscore es “SUMAR.SI.CONJUNTO()”. A partir de estas condiciones, podríamos calcular otras estadisticas, como por ejemplo, del primer y último cuarto, añadiendo más condiciones lógicas...</t>
      </text>
    </comment>
    <comment ref="C15" authorId="1" shapeId="0" xr:uid="{0D295182-EE93-4BC8-8728-A8CABA422ED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CORRECTO: 50 MINUTOS TOTALES DE CADA EQUIPO, SUMANDO TODOS LOS JUGADORES.
</t>
      </text>
    </comment>
    <comment ref="C31" authorId="2" shapeId="0" xr:uid="{DB498C45-7693-403D-9F64-48CDA552FD3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CORRECTO: 50 MINUTOS TOTALES DE CADA EQUIPO, SUMANDO TODOS LOS JUGADORES.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tc={8B961693-39A8-43C4-88C8-F948EE71292B}</author>
    <author>tc={15835376-1C2A-404D-B966-77035A619DE1}</author>
  </authors>
  <commentList>
    <comment ref="C15" authorId="0" shapeId="0" xr:uid="{8B961693-39A8-43C4-88C8-F948EE71292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CORRECTO: 50 MINUTOS TOTALES DE CADA EQUIPO, SUMANDO TODOS LOS JUGADORES.
</t>
      </text>
    </comment>
    <comment ref="C31" authorId="1" shapeId="0" xr:uid="{15835376-1C2A-404D-B966-77035A619D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CORRECTO: 50 MINUTOS TOTALES DE CADA EQUIPO, SUMANDO TODOS LOS JUGADORES.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tc={F0CE6BEC-9C15-490D-9DAE-17C955AD1482}</author>
  </authors>
  <commentList>
    <comment ref="E1" authorId="0" shapeId="0" xr:uid="{F0CE6BEC-9C15-490D-9DAE-17C955AD1482}">
      <text>
        <t>[Comentario encadenado]
Su versión de Excel le permite leer este comentario encadenado; sin embargo, las ediciones que se apliquen se quitarán si el archivo se abre en una versión más reciente de Excel. Más información: https://go.microsoft.com/fwlink/?linkid=870924
Comentario:
    Para que el gráfico tenga sentido, el tiempo tiene que ser creciente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tc={887D5A53-0E35-4789-BBA4-F779FBEDB12A}</author>
    <author>tc={7DB33153-9894-4B05-A7F7-A37DB1CD3573}</author>
    <author>tc={FD96BA22-790B-4853-A478-C6D3DAF07810}</author>
    <author>tc={8869BC74-ED0E-4989-B320-8DE341989982}</author>
  </authors>
  <commentList>
    <comment ref="AB1" authorId="0" shapeId="0" xr:uid="{887D5A53-0E35-4789-BBA4-F779FBEDB12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Points Per Shot Attempt
https://www.nbastuffer.com/analytics101/points-per-shot-attempt/
</t>
      </text>
    </comment>
    <comment ref="AG1" authorId="1" shapeId="0" xr:uid="{7DB33153-9894-4B05-A7F7-A37DB1CD3573}">
      <text>
        <t>[Comentario encadenado]
Su versión de Excel le permite leer este comentario encadenado; sin embargo, las ediciones que se apliquen se quitarán si el archivo se abre en una versión más reciente de Excel. Más información: https://go.microsoft.com/fwlink/?linkid=870924
Comentario:
    La casilla inferior (AA2) permite seleccionar el cuarto del que se quieren calcular estadísticas. 
Solo hemos tomado datos del primer cuarto del partido. Si se cambia el ‘1’ por cualquier otro valor, verás como todas las stats se vuelven nulas.
EXTRA: Vamos a ver el funcionamiento del PlayByPlay de un partido completo. Para ello, añadimos  una jugada hipotética en cada cuarto del partido. Por ejemplo, un triple del jugador de manresa Dani Perez (nº 55). 
Vamos a simplificarlo, de modo que los jugadores que finalizaron en pista en el primer cuarto, juegan el resto del partido. Es decir, empiezan y acaban cada uno de los siguientes cuartos, y no hay cambios. Hemos incluido los eventos correspondientes en el dataset (Hoja 2 del documento), desde la línea 164 a la línea 242.
Así, si cambiamos la casilla AA2, que incluye el cuarto, por ‘2’, ‘3’ o ‘4’, podremos ver como se modifica el Boxscore.
La función clave en Excel para el boxscore es “SUMAR.SI.CONJUNTO()”. A partir de estas condiciones, podríamos calcular otras estadisticas, como por ejemplo, del primer y último cuarto, añadiendo más condiciones lógicas...</t>
      </text>
    </comment>
    <comment ref="C15" authorId="2" shapeId="0" xr:uid="{FD96BA22-790B-4853-A478-C6D3DAF0781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CORRECTO: 50 MINUTOS TOTALES DE CADA EQUIPO, SUMANDO TODOS LOS JUGADORES.
</t>
      </text>
    </comment>
    <comment ref="C31" authorId="3" shapeId="0" xr:uid="{8869BC74-ED0E-4989-B320-8DE34198998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CORRECTO: 50 MINUTOS TOTALES DE CADA EQUIPO, SUMANDO TODOS LOS JUGADORES.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tc={D730ED10-C253-41EB-B5DC-C2415D5C9A7D}</author>
    <author>tc={6AA7ECEE-A298-42D4-AD0F-67A0247F0D14}</author>
  </authors>
  <commentList>
    <comment ref="AR63" authorId="0" shapeId="0" xr:uid="{D730ED10-C253-41EB-B5DC-C2415D5C9A7D}">
      <text>
        <t>[Comentario encadenado]
Su versión de Excel le permite leer este comentario encadenado; sin embargo, las ediciones que se apliquen se quitarán si el archivo se abre en una versión más reciente de Excel. Más información: https://go.microsoft.com/fwlink/?linkid=870924
Comentario:
    LAS GRÁFICAS DE USG% VS OER SUELEN UTILIZARSE PARA CLASIFICAR JUGADORES.
EN ESTE CASO NO SON SIGNIFICATIVAS, PORQUE LA MUESTRA ES MUY PEQUEÑA</t>
      </text>
    </comment>
    <comment ref="X82" authorId="1" shapeId="0" xr:uid="{6AA7ECEE-A298-42D4-AD0F-67A0247F0D1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gráfico de Tiros de 3 dee Lleida no tiene sentido porque no metieron ningún triple (Hicieron 0/2 en el cuarto). 
En el baloncesto actual, solo ese dato de bajo número de triples intentados, y ninguno metido, podría ser un buen predictor de derrota. No a corto plazo, en un partido, pero sí a largo plazo. Este dato no tiene porqué explicar la derrota de Lleida. . Puede que sea testimonial, y que en el resto de cuartos sí anotaran triples. Habría que analizar en detalle el partido en concreto. 
En conclusión, para la mayoría de estadísticas, los datos de un solo partido no son representativos/válidos para extraer conclusiones. 
Como en la mayoría de estudios estadísticos, los resultados serían más fiables ampliando la muestra -&gt;
Más cuartos, más partidos, más temporadas…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<sst xmlns="http://schemas.openxmlformats.org/spreadsheetml/2006/main" count="1991" uniqueCount="217">
  <si>
    <t>Jugador_ID</t>
  </si>
  <si>
    <t>Equipo</t>
  </si>
  <si>
    <t>Dorsal</t>
  </si>
  <si>
    <t>Nombre</t>
  </si>
  <si>
    <t>Posición</t>
  </si>
  <si>
    <t>Titular</t>
  </si>
  <si>
    <t>Hugo Benítez</t>
  </si>
  <si>
    <t>JM08</t>
  </si>
  <si>
    <t>Álex Reyes</t>
  </si>
  <si>
    <t>JM11</t>
  </si>
  <si>
    <t>Dani Pérez</t>
  </si>
  <si>
    <t>JM12</t>
  </si>
  <si>
    <t>Retin Obasohan</t>
  </si>
  <si>
    <t>JM32</t>
  </si>
  <si>
    <t>Gustav Knudsen</t>
  </si>
  <si>
    <t>JL01</t>
  </si>
  <si>
    <t>LLEIDA</t>
  </si>
  <si>
    <t>James Batemon</t>
  </si>
  <si>
    <t>JL02</t>
  </si>
  <si>
    <t>Corey Walden</t>
  </si>
  <si>
    <t>JL04</t>
  </si>
  <si>
    <t>Caleb Agada</t>
  </si>
  <si>
    <t>JL05</t>
  </si>
  <si>
    <t>Oriol Paulí</t>
  </si>
  <si>
    <t>JL06</t>
  </si>
  <si>
    <t>JL12</t>
  </si>
  <si>
    <t>Atoumane Diagne</t>
  </si>
  <si>
    <t>JM00</t>
  </si>
  <si>
    <t>Kaodirichi Akobundu</t>
  </si>
  <si>
    <t>E</t>
  </si>
  <si>
    <t>B</t>
  </si>
  <si>
    <t>A</t>
  </si>
  <si>
    <t>Agustín Ubal</t>
  </si>
  <si>
    <t>Marcis Steinbergs</t>
  </si>
  <si>
    <t>AP</t>
  </si>
  <si>
    <t>JM33</t>
  </si>
  <si>
    <t>P</t>
  </si>
  <si>
    <t>Mikel Sanz</t>
  </si>
  <si>
    <t>JL14</t>
  </si>
  <si>
    <t>JL16</t>
  </si>
  <si>
    <t>Millán Jiménez</t>
  </si>
  <si>
    <t>JL22</t>
  </si>
  <si>
    <t>John Shurna</t>
  </si>
  <si>
    <t>JL25</t>
  </si>
  <si>
    <t>Cameron Krutwig</t>
  </si>
  <si>
    <t>JL07</t>
  </si>
  <si>
    <t>MANRESA</t>
  </si>
  <si>
    <t>Cuarto</t>
  </si>
  <si>
    <t>Minuto</t>
  </si>
  <si>
    <t>Segundo</t>
  </si>
  <si>
    <t>Evento_ID</t>
  </si>
  <si>
    <t>Tipo_Evento</t>
  </si>
  <si>
    <t>Zona_de_Tiro</t>
  </si>
  <si>
    <t>Resultado</t>
  </si>
  <si>
    <t>Tiempo</t>
  </si>
  <si>
    <t>Tipo_Tiro</t>
  </si>
  <si>
    <t>Asistencia</t>
  </si>
  <si>
    <t>Pérdida</t>
  </si>
  <si>
    <t>Falta_Cometida</t>
  </si>
  <si>
    <t>Falta_Recibida</t>
  </si>
  <si>
    <t>Made</t>
  </si>
  <si>
    <t>Assist</t>
  </si>
  <si>
    <t>Dunk</t>
  </si>
  <si>
    <t>Missed</t>
  </si>
  <si>
    <t>Block</t>
  </si>
  <si>
    <t>Louis Olinde</t>
  </si>
  <si>
    <t>JM18</t>
  </si>
  <si>
    <t>JM47</t>
  </si>
  <si>
    <t>JM55</t>
  </si>
  <si>
    <t>JM99</t>
  </si>
  <si>
    <t>JM19</t>
  </si>
  <si>
    <t>NO</t>
  </si>
  <si>
    <t>SI</t>
  </si>
  <si>
    <t>JM02</t>
  </si>
  <si>
    <t>JL03</t>
  </si>
  <si>
    <t>Melvin Ejim</t>
  </si>
  <si>
    <t>Kristers Zoriks</t>
  </si>
  <si>
    <t>Gyorgy Golomán</t>
  </si>
  <si>
    <t>Grant Golden</t>
  </si>
  <si>
    <t>Archange Izaw Bolavie</t>
  </si>
  <si>
    <t>Alfonso Plummer</t>
  </si>
  <si>
    <t>Starting lineup</t>
  </si>
  <si>
    <t>2-Point Shot</t>
  </si>
  <si>
    <t>3-Point Shot</t>
  </si>
  <si>
    <t>Defensive Rebound</t>
  </si>
  <si>
    <t>Free Throw</t>
  </si>
  <si>
    <t>Block Received</t>
  </si>
  <si>
    <t>Tiempo_Posesion_Restante</t>
  </si>
  <si>
    <t>Tapón_realizado</t>
  </si>
  <si>
    <t>Tapón_recibido</t>
  </si>
  <si>
    <t>Rebote_ofensivo</t>
  </si>
  <si>
    <t>Rebote_defensivo</t>
  </si>
  <si>
    <t>Puntos_Conseguidos</t>
  </si>
  <si>
    <t>Tiro_Intentado</t>
  </si>
  <si>
    <t>Recuperacion</t>
  </si>
  <si>
    <t>Tiempo_Sale</t>
  </si>
  <si>
    <t>Tiempo_Entra</t>
  </si>
  <si>
    <t>Anotado (0/1)</t>
  </si>
  <si>
    <t>Jugador</t>
  </si>
  <si>
    <t xml:space="preserve">MANRESA </t>
  </si>
  <si>
    <t>Contestado (S/N)</t>
  </si>
  <si>
    <t>Asistido (S/N)</t>
  </si>
  <si>
    <t>S</t>
  </si>
  <si>
    <t>Jump ball won</t>
  </si>
  <si>
    <t>Jump ball lost</t>
  </si>
  <si>
    <t>PickAndRoll (S/N)</t>
  </si>
  <si>
    <t>Foul</t>
  </si>
  <si>
    <t>2FT</t>
  </si>
  <si>
    <t>Foul Received</t>
  </si>
  <si>
    <t>Offensive Rebound</t>
  </si>
  <si>
    <t>Substitution - Out</t>
  </si>
  <si>
    <t>Substitution - In</t>
  </si>
  <si>
    <t>Turnover</t>
  </si>
  <si>
    <t>Bad pass</t>
  </si>
  <si>
    <t>Offensive Foul</t>
  </si>
  <si>
    <t>Steal</t>
  </si>
  <si>
    <t>3FT</t>
  </si>
  <si>
    <t>Controlled ball</t>
  </si>
  <si>
    <t>1FT</t>
  </si>
  <si>
    <t>Time-out</t>
  </si>
  <si>
    <t>MAN</t>
  </si>
  <si>
    <t>LLE</t>
  </si>
  <si>
    <t>Foul Technical</t>
  </si>
  <si>
    <t>TEAM - Manresa</t>
  </si>
  <si>
    <t>TEAM - Lleida</t>
  </si>
  <si>
    <t>N</t>
  </si>
  <si>
    <t>Tiempo_Pista_Sustituciones</t>
  </si>
  <si>
    <t>Acaba_Cuarto</t>
  </si>
  <si>
    <t>Primera_Entrada</t>
  </si>
  <si>
    <t>Primera_Salida</t>
  </si>
  <si>
    <t>Ultima_Salida</t>
  </si>
  <si>
    <t>Última_entrada</t>
  </si>
  <si>
    <t>Juega_Algun_Minuto</t>
  </si>
  <si>
    <t>Min_TOTAL</t>
  </si>
  <si>
    <t>Min_Pista_Jugador_Acaba_Cuarto_Ult_Subint</t>
  </si>
  <si>
    <t>Min_Pista_Jugador_Resto_Subintervalos</t>
  </si>
  <si>
    <t>Min_TOTAL_EQUIPO</t>
  </si>
  <si>
    <t>Finishing lineup</t>
  </si>
  <si>
    <t>Tiempo_Pista_Completo</t>
  </si>
  <si>
    <t>Minutos_Jugados</t>
  </si>
  <si>
    <t>PTS</t>
  </si>
  <si>
    <t>T2_Anot</t>
  </si>
  <si>
    <t>T2_Int</t>
  </si>
  <si>
    <t>T2%</t>
  </si>
  <si>
    <t>T3_Anot</t>
  </si>
  <si>
    <t>T3_Int</t>
  </si>
  <si>
    <t>T3%</t>
  </si>
  <si>
    <t>TL_Anot</t>
  </si>
  <si>
    <t>TL_Int</t>
  </si>
  <si>
    <t>TL%</t>
  </si>
  <si>
    <t>Def_Reb</t>
  </si>
  <si>
    <t>Off_Reb</t>
  </si>
  <si>
    <t>Tot_Reb</t>
  </si>
  <si>
    <t>AST</t>
  </si>
  <si>
    <t>STL</t>
  </si>
  <si>
    <t>TO</t>
  </si>
  <si>
    <t>BLCK</t>
  </si>
  <si>
    <t>BLCK REC</t>
  </si>
  <si>
    <t>DUNK</t>
  </si>
  <si>
    <t>FOUL</t>
  </si>
  <si>
    <t>FOUL REC</t>
  </si>
  <si>
    <t>VAL</t>
  </si>
  <si>
    <t>TOTALS</t>
  </si>
  <si>
    <t>CUARTO</t>
  </si>
  <si>
    <t>Total_mins</t>
  </si>
  <si>
    <t>Acaba_Cuarto_final</t>
  </si>
  <si>
    <t>EXTRA (Hoja 4)</t>
  </si>
  <si>
    <t>PTS_MAN_Evento</t>
  </si>
  <si>
    <t>PTS_LLE_Evento</t>
  </si>
  <si>
    <t>PTS_MAN_Acum</t>
  </si>
  <si>
    <t>PTS_Lleida_Acum</t>
  </si>
  <si>
    <t>MARCADOR</t>
  </si>
  <si>
    <t>Tiempo_Cambio_Marcador</t>
  </si>
  <si>
    <t>Tiempo_Ascendente</t>
  </si>
  <si>
    <t>Pull-up</t>
  </si>
  <si>
    <t>PI</t>
  </si>
  <si>
    <t>Lay-up</t>
  </si>
  <si>
    <t>Floater</t>
  </si>
  <si>
    <t>PC</t>
  </si>
  <si>
    <t>PD</t>
  </si>
  <si>
    <t>Spot-up</t>
  </si>
  <si>
    <t>eFG%</t>
  </si>
  <si>
    <t>TS%</t>
  </si>
  <si>
    <t>PPSA</t>
  </si>
  <si>
    <t>TI</t>
  </si>
  <si>
    <t>MI</t>
  </si>
  <si>
    <t>Catch&amp;Shoot</t>
  </si>
  <si>
    <t>TD</t>
  </si>
  <si>
    <t>MD</t>
  </si>
  <si>
    <t>MC</t>
  </si>
  <si>
    <t>TC</t>
  </si>
  <si>
    <t xml:space="preserve"> </t>
  </si>
  <si>
    <t>Put-back</t>
  </si>
  <si>
    <t>POSESIONES</t>
  </si>
  <si>
    <t>OER_Team</t>
  </si>
  <si>
    <t>OER_Player</t>
  </si>
  <si>
    <t>DER_Team</t>
  </si>
  <si>
    <t>T2_Anotados_Y_Asistidos</t>
  </si>
  <si>
    <t>T3_Anotados_Y_Asistidos</t>
  </si>
  <si>
    <t>T2_Anotados_Y_NO_Asistidos</t>
  </si>
  <si>
    <t>T3_Anotados_Y_NO_Asistidos</t>
  </si>
  <si>
    <t>T2_Anot_Tot</t>
  </si>
  <si>
    <t>T3_Anot_Tot</t>
  </si>
  <si>
    <t>%T2_ASISTIDOS</t>
  </si>
  <si>
    <t>%T2_NO_ASISTIDOS</t>
  </si>
  <si>
    <t>%T3_ASISTIDOS</t>
  </si>
  <si>
    <t>%T3_NO_ASISTIDOS</t>
  </si>
  <si>
    <t>COMENTARIO SOBRE EL GRÁFICO DE TIROS DE 3 ANOTADOS POR LLEIDA</t>
  </si>
  <si>
    <t>USG%</t>
  </si>
  <si>
    <t>ESTADÍSTICA OFENSIVA: USO (USG%) VS RENDIMIENTO OFENSIVO (OER)</t>
  </si>
  <si>
    <t xml:space="preserve">COMENTARIOS SOBRE LOS GRÁFICOS DE USG% VS OER </t>
  </si>
  <si>
    <t>USG%_TOT</t>
  </si>
  <si>
    <t xml:space="preserve">Si la estadística fuese suficientemente extensa, de los gráficos podríamos deducir una clasificación de jugadores por equipo. </t>
  </si>
  <si>
    <t>Por ejemplo, de acuerdo a lo estudiado en clase (UNIDAD 7), los siguientes jugadores serían ESPECIALISTAS:</t>
  </si>
  <si>
    <t>Especialistas_ID</t>
  </si>
  <si>
    <t>De nuevo, reiteramos que la muestra es ínfima, no se deduce nada concluyente/consistente.</t>
  </si>
  <si>
    <t>Si fuera una gráfica de toda la temporada, sí podríamos clasificar a los jugadores más fielmente.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</si>
</sst>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ss;@"/>
    <numFmt numFmtId="165" formatCode="[$-F400]h:mm:ss\ AM/PM"/>
  </numFmts>
  <fonts count="10" x14ac:knownFonts="1">
    <font>
      <sz val="11"/>
      <color theme="1"/>
      <name val="Calibri"/>
      <family val="2"/>
      <scheme val="minor"/>
    </font>
    <font>
      <b/>
      <sz val="11"/>
      <color theme="1"/>
      <name val="Calibri"/>
      <family val="2"/>
      <scheme val="minor"/>
    </font>
    <font>
      <sz val="11"/>
      <color theme="1"/>
      <name val="Calibri"/>
      <family val="2"/>
      <scheme val="minor"/>
    </font>
    <font>
      <sz val="11"/>
      <color rgb="FFFF0000"/>
      <name val="Calibri"/>
      <family val="2"/>
      <scheme val="minor"/>
    </font>
    <font>
      <sz val="8"/>
      <name val="Calibri"/>
      <family val="2"/>
      <scheme val="minor"/>
    </font>
    <font>
      <b/>
      <sz val="11"/>
      <color rgb="FF00B050"/>
      <name val="Calibri"/>
      <family val="2"/>
      <scheme val="minor"/>
    </font>
    <font>
      <sz val="11"/>
      <color rgb="FF00B050"/>
      <name val="Calibri"/>
      <family val="2"/>
      <scheme val="minor"/>
    </font>
    <font>
      <b/>
      <sz val="11"/>
      <name val="Calibri"/>
      <family val="2"/>
      <scheme val="minor"/>
    </font>
    <font>
      <sz val="11"/>
      <name val="Calibri"/>
      <family val="2"/>
      <scheme val="minor"/>
    </font>
    <font>
      <b/>
      <sz val="11"/>
      <color rgb="FFFF0000"/>
      <name val="Calibri"/>
      <family val="2"/>
      <scheme val="minor"/>
    </font>
  </fonts>
  <fills count="18">
    <fill>
      <patternFill patternType="none"/>
    </fill>
    <fill>
      <patternFill patternType="gray125"/>
    </fill>
    <fill>
      <patternFill patternType="solid">
        <fgColor theme="7"/>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bgColor indexed="64"/>
      </patternFill>
    </fill>
    <fill>
      <patternFill patternType="solid">
        <fgColor theme="9"/>
        <bgColor indexed="64"/>
      </patternFill>
    </fill>
    <fill>
      <patternFill patternType="solid">
        <fgColor theme="4"/>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rgb="FFFF0000"/>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5" tint="0.79998168889431442"/>
        <bgColor indexed="64"/>
      </patternFill>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2" fillId="0" borderId="0" applyFont="0" applyFill="0" applyBorder="0" applyAlignment="0" applyProtection="0"/>
  </cellStyleXfs>
  <cellXfs count="77">
    <xf numFmtId="0" fontId="0" fillId="0" borderId="0" xfId="0"/>
    <xf numFmtId="0" fontId="1" fillId="2" borderId="0" xfId="0" applyFont="1" applyFill="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1" fillId="5" borderId="0" xfId="0" applyFont="1" applyFill="1" applyAlignment="1">
      <alignment horizontal="center" vertical="center"/>
    </xf>
    <xf numFmtId="164" fontId="1" fillId="5" borderId="0" xfId="0" applyNumberFormat="1" applyFont="1" applyFill="1" applyAlignment="1">
      <alignment horizontal="center" vertical="center"/>
    </xf>
    <xf numFmtId="0" fontId="1" fillId="6" borderId="0" xfId="0" applyFont="1" applyFill="1" applyAlignment="1">
      <alignment horizontal="center" vertical="center"/>
    </xf>
    <xf numFmtId="0" fontId="1" fillId="7" borderId="0" xfId="0" applyFont="1" applyFill="1" applyAlignment="1">
      <alignment horizontal="center" vertical="center"/>
    </xf>
    <xf numFmtId="165" fontId="0" fillId="0" borderId="0" xfId="0" applyNumberFormat="1" applyAlignment="1">
      <alignment horizontal="center" vertical="center"/>
    </xf>
    <xf numFmtId="165" fontId="0" fillId="3" borderId="0" xfId="0" applyNumberFormat="1" applyFill="1" applyAlignment="1">
      <alignment horizontal="center" vertical="center"/>
    </xf>
    <xf numFmtId="165" fontId="0" fillId="4" borderId="0" xfId="0" applyNumberForma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0" borderId="0" xfId="0" applyFont="1" applyAlignment="1">
      <alignment horizontal="center"/>
    </xf>
    <xf numFmtId="0" fontId="0" fillId="0" borderId="0" xfId="0" applyAlignment="1">
      <alignment horizontal="center"/>
    </xf>
    <xf numFmtId="165" fontId="1" fillId="3" borderId="0" xfId="0" applyNumberFormat="1" applyFont="1" applyFill="1" applyAlignment="1">
      <alignment horizontal="center" vertical="center"/>
    </xf>
    <xf numFmtId="165" fontId="1" fillId="4" borderId="0" xfId="0" applyNumberFormat="1" applyFont="1" applyFill="1" applyAlignment="1">
      <alignment horizontal="center" vertical="center"/>
    </xf>
    <xf numFmtId="0" fontId="0" fillId="0" borderId="0" xfId="0" applyAlignment="1">
      <alignment horizontal="center" vertical="center" wrapText="1"/>
    </xf>
    <xf numFmtId="0" fontId="5" fillId="0" borderId="0" xfId="0" applyFont="1" applyAlignment="1">
      <alignment horizontal="center" vertical="center"/>
    </xf>
    <xf numFmtId="0" fontId="6" fillId="3" borderId="0" xfId="0" applyFont="1" applyFill="1" applyAlignment="1">
      <alignment horizontal="center" vertical="center"/>
    </xf>
    <xf numFmtId="0" fontId="6" fillId="4" borderId="0" xfId="0" applyFont="1" applyFill="1" applyAlignment="1">
      <alignment horizontal="center" vertical="center"/>
    </xf>
    <xf numFmtId="165" fontId="6" fillId="3" borderId="0" xfId="0" applyNumberFormat="1" applyFont="1" applyFill="1" applyAlignment="1">
      <alignment horizontal="center" vertical="center"/>
    </xf>
    <xf numFmtId="0" fontId="7" fillId="8" borderId="0" xfId="0" applyFont="1" applyFill="1" applyAlignment="1">
      <alignment horizontal="center" vertical="center"/>
    </xf>
    <xf numFmtId="165" fontId="7" fillId="8" borderId="0" xfId="0" applyNumberFormat="1" applyFont="1" applyFill="1" applyAlignment="1">
      <alignment horizontal="center" vertical="center"/>
    </xf>
    <xf numFmtId="0" fontId="1" fillId="9" borderId="0" xfId="0" applyFont="1" applyFill="1" applyAlignment="1">
      <alignment horizontal="center" vertical="center"/>
    </xf>
    <xf numFmtId="165" fontId="1" fillId="9" borderId="0" xfId="0" applyNumberFormat="1" applyFont="1" applyFill="1" applyAlignment="1">
      <alignment horizontal="center" vertical="center"/>
    </xf>
    <xf numFmtId="0" fontId="8" fillId="3" borderId="0" xfId="0" applyFont="1" applyFill="1" applyAlignment="1">
      <alignment horizontal="center" vertical="center"/>
    </xf>
    <xf numFmtId="0" fontId="9" fillId="0" borderId="0" xfId="0" applyFont="1" applyAlignment="1">
      <alignment horizontal="center" vertical="center"/>
    </xf>
    <xf numFmtId="0" fontId="3" fillId="3" borderId="0" xfId="0" applyFont="1" applyFill="1" applyAlignment="1">
      <alignment horizontal="center" vertical="center"/>
    </xf>
    <xf numFmtId="165" fontId="3" fillId="3" borderId="0" xfId="0" applyNumberFormat="1" applyFont="1" applyFill="1" applyAlignment="1">
      <alignment horizontal="center" vertical="center"/>
    </xf>
    <xf numFmtId="165" fontId="6" fillId="4" borderId="0" xfId="0" applyNumberFormat="1" applyFont="1" applyFill="1" applyAlignment="1">
      <alignment horizontal="center" vertical="center"/>
    </xf>
    <xf numFmtId="0" fontId="1" fillId="8" borderId="0" xfId="0" applyFont="1" applyFill="1" applyAlignment="1">
      <alignment horizontal="center" vertical="center"/>
    </xf>
    <xf numFmtId="9" fontId="0" fillId="0" borderId="0" xfId="1" applyFont="1" applyAlignment="1">
      <alignment horizontal="center" vertical="center"/>
    </xf>
    <xf numFmtId="0" fontId="1" fillId="10" borderId="0" xfId="0" applyFont="1" applyFill="1" applyAlignment="1">
      <alignment horizontal="center" vertical="center"/>
    </xf>
    <xf numFmtId="0" fontId="0" fillId="11" borderId="0" xfId="0" applyFill="1" applyAlignment="1">
      <alignment horizontal="center" vertical="center"/>
    </xf>
    <xf numFmtId="165" fontId="0" fillId="11" borderId="0" xfId="0" applyNumberFormat="1" applyFill="1" applyAlignment="1">
      <alignment horizontal="center" vertical="center"/>
    </xf>
    <xf numFmtId="9" fontId="0" fillId="11" borderId="0" xfId="1" applyFont="1" applyFill="1" applyAlignment="1">
      <alignment horizontal="center" vertical="center"/>
    </xf>
    <xf numFmtId="9" fontId="1" fillId="8" borderId="0" xfId="1" applyFont="1" applyFill="1" applyAlignment="1">
      <alignment horizontal="center" vertical="center"/>
    </xf>
    <xf numFmtId="9" fontId="1" fillId="9" borderId="0" xfId="1" applyFont="1" applyFill="1" applyAlignment="1">
      <alignment horizontal="center" vertical="center"/>
    </xf>
    <xf numFmtId="0" fontId="1" fillId="12" borderId="0" xfId="0" applyFont="1" applyFill="1" applyAlignment="1">
      <alignment horizontal="center" vertical="center"/>
    </xf>
    <xf numFmtId="2" fontId="1" fillId="9" borderId="0" xfId="0" applyNumberFormat="1" applyFont="1" applyFill="1" applyAlignment="1">
      <alignment horizontal="center" vertical="center"/>
    </xf>
    <xf numFmtId="2" fontId="1" fillId="8" borderId="0" xfId="0" applyNumberFormat="1" applyFont="1" applyFill="1" applyAlignment="1">
      <alignment horizontal="center" vertical="center"/>
    </xf>
    <xf numFmtId="0" fontId="6" fillId="0" borderId="0" xfId="0" applyFont="1" applyAlignment="1">
      <alignment horizontal="center" vertical="center"/>
    </xf>
    <xf numFmtId="9" fontId="6" fillId="0" borderId="0" xfId="1" applyFont="1" applyAlignment="1">
      <alignment horizontal="center" vertical="center"/>
    </xf>
    <xf numFmtId="164" fontId="0" fillId="0" borderId="0" xfId="0" applyNumberFormat="1" applyAlignment="1">
      <alignment horizontal="center"/>
    </xf>
    <xf numFmtId="164" fontId="0" fillId="0" borderId="0" xfId="0" applyNumberFormat="1" applyAlignment="1">
      <alignment horizontal="center" vertical="center" wrapText="1"/>
    </xf>
    <xf numFmtId="0" fontId="1" fillId="6" borderId="0" xfId="0" applyFont="1" applyFill="1" applyAlignment="1">
      <alignment horizontal="center"/>
    </xf>
    <xf numFmtId="21" fontId="0" fillId="0" borderId="0" xfId="0" applyNumberFormat="1" applyAlignment="1">
      <alignment horizontal="center"/>
    </xf>
    <xf numFmtId="165" fontId="0" fillId="0" borderId="0" xfId="0" applyNumberFormat="1" applyAlignment="1">
      <alignment horizontal="center"/>
    </xf>
    <xf numFmtId="0" fontId="1" fillId="13" borderId="0" xfId="0" applyFont="1" applyFill="1" applyAlignment="1">
      <alignment horizontal="center"/>
    </xf>
    <xf numFmtId="0" fontId="0" fillId="13" borderId="0" xfId="0" applyFill="1" applyAlignment="1">
      <alignment horizontal="center"/>
    </xf>
    <xf numFmtId="164" fontId="0" fillId="13" borderId="0" xfId="0" applyNumberFormat="1" applyFill="1" applyAlignment="1">
      <alignment horizontal="center"/>
    </xf>
    <xf numFmtId="165" fontId="1" fillId="0" borderId="0" xfId="0" applyNumberFormat="1" applyFont="1" applyAlignment="1">
      <alignment horizontal="center"/>
    </xf>
    <xf numFmtId="10" fontId="0" fillId="14" borderId="0" xfId="0" applyNumberFormat="1" applyFill="1" applyAlignment="1">
      <alignment horizontal="center" vertical="center"/>
    </xf>
    <xf numFmtId="2" fontId="0" fillId="14" borderId="0" xfId="0" applyNumberFormat="1" applyFill="1" applyAlignment="1">
      <alignment horizontal="center" vertical="center"/>
    </xf>
    <xf numFmtId="0" fontId="0" fillId="14" borderId="0" xfId="0" applyFill="1" applyAlignment="1">
      <alignment horizontal="center" vertical="center"/>
    </xf>
    <xf numFmtId="2" fontId="0" fillId="0" borderId="0" xfId="0" applyNumberFormat="1" applyAlignment="1">
      <alignment horizontal="center" vertical="center"/>
    </xf>
    <xf numFmtId="2" fontId="1" fillId="2" borderId="1" xfId="0" applyNumberFormat="1" applyFont="1" applyFill="1" applyBorder="1" applyAlignment="1">
      <alignment horizontal="center" vertical="center"/>
    </xf>
    <xf numFmtId="2" fontId="1" fillId="2" borderId="2" xfId="0" applyNumberFormat="1" applyFont="1" applyFill="1" applyBorder="1" applyAlignment="1">
      <alignment horizontal="center" vertical="center"/>
    </xf>
    <xf numFmtId="2" fontId="1" fillId="14" borderId="3" xfId="0" applyNumberFormat="1" applyFont="1" applyFill="1" applyBorder="1" applyAlignment="1">
      <alignment horizontal="center" vertical="center"/>
    </xf>
    <xf numFmtId="2" fontId="1" fillId="14" borderId="4" xfId="0" applyNumberFormat="1" applyFont="1" applyFill="1" applyBorder="1" applyAlignment="1">
      <alignment horizontal="center" vertical="center"/>
    </xf>
    <xf numFmtId="0" fontId="1" fillId="15" borderId="0" xfId="0" applyFont="1" applyFill="1" applyAlignment="1">
      <alignment horizontal="center" vertical="center"/>
    </xf>
    <xf numFmtId="0" fontId="1" fillId="16" borderId="0" xfId="0" applyFont="1" applyFill="1" applyAlignment="1">
      <alignment horizontal="center" vertical="center"/>
    </xf>
    <xf numFmtId="9" fontId="1" fillId="16" borderId="0" xfId="1" applyFont="1" applyFill="1" applyAlignment="1">
      <alignment horizontal="center" vertical="center"/>
    </xf>
    <xf numFmtId="9" fontId="2" fillId="3" borderId="0" xfId="1" applyFont="1" applyFill="1" applyAlignment="1">
      <alignment horizontal="center" vertical="center"/>
    </xf>
    <xf numFmtId="9" fontId="2" fillId="4" borderId="0" xfId="1" applyFont="1" applyFill="1" applyAlignment="1">
      <alignment horizontal="center" vertical="center"/>
    </xf>
    <xf numFmtId="9" fontId="1" fillId="3" borderId="0" xfId="1" applyFont="1" applyFill="1" applyAlignment="1">
      <alignment horizontal="center" vertical="center"/>
    </xf>
    <xf numFmtId="9" fontId="1" fillId="4" borderId="0" xfId="1" applyFont="1" applyFill="1" applyAlignment="1">
      <alignment horizontal="center" vertical="center"/>
    </xf>
    <xf numFmtId="0" fontId="1" fillId="0" borderId="0" xfId="0" applyFont="1"/>
    <xf numFmtId="9" fontId="0" fillId="0" borderId="5" xfId="1" applyFont="1" applyBorder="1" applyAlignment="1">
      <alignment horizontal="center" vertical="center"/>
    </xf>
    <xf numFmtId="0" fontId="1" fillId="0" borderId="6" xfId="0" applyFont="1" applyBorder="1" applyAlignment="1">
      <alignment horizontal="center" vertical="center"/>
    </xf>
    <xf numFmtId="0" fontId="0" fillId="4" borderId="0" xfId="0" applyFill="1"/>
    <xf numFmtId="0" fontId="0" fillId="3" borderId="0" xfId="0" applyFill="1"/>
    <xf numFmtId="0" fontId="1" fillId="17" borderId="0" xfId="0" applyFont="1" applyFill="1" applyAlignment="1">
      <alignment horizontal="center"/>
    </xf>
    <xf numFmtId="0" fontId="0" fillId="0" borderId="0" xfId="0"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2000" b="1"/>
              <a:t>EVOLUCIÓN</a:t>
            </a:r>
            <a:r>
              <a:rPr lang="es-ES" sz="2000" b="1" baseline="0"/>
              <a:t> DEL MARCADOR</a:t>
            </a:r>
            <a:endParaRPr lang="es-E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1"/>
          <c:tx>
            <c:v>MAN</c:v>
          </c:tx>
          <c:spPr>
            <a:ln w="28575" cap="rnd">
              <a:solidFill>
                <a:schemeClr val="accent2"/>
              </a:solidFill>
              <a:round/>
            </a:ln>
            <a:effectLst/>
          </c:spPr>
          <c:marker>
            <c:symbol val="none"/>
          </c:marker>
          <c:dPt>
            <c:idx val="26"/>
            <c:marker>
              <c:symbol val="none"/>
            </c:marker>
            <c:bubble3D val="0"/>
            <c:spPr>
              <a:ln w="28575" cap="rnd">
                <a:solidFill>
                  <a:srgbClr val="FF0000"/>
                </a:solidFill>
                <a:round/>
              </a:ln>
              <a:effectLst/>
            </c:spPr>
            <c:extLst>
              <c:ext xmlns:c16="http://schemas.microsoft.com/office/drawing/2014/chart" uri="{C3380CC4-5D6E-409C-BE32-E72D297353CC}">
                <c16:uniqueId val="{00000004-16F1-40D2-86DB-9CFA168D25EA}"/>
              </c:ext>
            </c:extLst>
          </c:dPt>
          <c:val>
            <c:numRef>
              <c:f>'7-MARCADOR_FINAL'!$A$2:$A$35</c:f>
              <c:numCache>
                <c:formatCode>General</c:formatCode>
                <c:ptCount val="34"/>
                <c:pt idx="0">
                  <c:v>0</c:v>
                </c:pt>
                <c:pt idx="1">
                  <c:v>2</c:v>
                </c:pt>
                <c:pt idx="2">
                  <c:v>2</c:v>
                </c:pt>
                <c:pt idx="3">
                  <c:v>4</c:v>
                </c:pt>
                <c:pt idx="4">
                  <c:v>4</c:v>
                </c:pt>
                <c:pt idx="5">
                  <c:v>7</c:v>
                </c:pt>
                <c:pt idx="6">
                  <c:v>10</c:v>
                </c:pt>
                <c:pt idx="7">
                  <c:v>10</c:v>
                </c:pt>
                <c:pt idx="8">
                  <c:v>10</c:v>
                </c:pt>
                <c:pt idx="9">
                  <c:v>12</c:v>
                </c:pt>
                <c:pt idx="10">
                  <c:v>12</c:v>
                </c:pt>
                <c:pt idx="11">
                  <c:v>13</c:v>
                </c:pt>
                <c:pt idx="12">
                  <c:v>14</c:v>
                </c:pt>
                <c:pt idx="13">
                  <c:v>14</c:v>
                </c:pt>
                <c:pt idx="14">
                  <c:v>16</c:v>
                </c:pt>
                <c:pt idx="15">
                  <c:v>16</c:v>
                </c:pt>
                <c:pt idx="16">
                  <c:v>16</c:v>
                </c:pt>
                <c:pt idx="17">
                  <c:v>16</c:v>
                </c:pt>
                <c:pt idx="18">
                  <c:v>16</c:v>
                </c:pt>
                <c:pt idx="19">
                  <c:v>16</c:v>
                </c:pt>
                <c:pt idx="20">
                  <c:v>16</c:v>
                </c:pt>
                <c:pt idx="21">
                  <c:v>17</c:v>
                </c:pt>
                <c:pt idx="22">
                  <c:v>18</c:v>
                </c:pt>
                <c:pt idx="23">
                  <c:v>19</c:v>
                </c:pt>
                <c:pt idx="24">
                  <c:v>21</c:v>
                </c:pt>
                <c:pt idx="25">
                  <c:v>21</c:v>
                </c:pt>
                <c:pt idx="26">
                  <c:v>22</c:v>
                </c:pt>
                <c:pt idx="27">
                  <c:v>22</c:v>
                </c:pt>
                <c:pt idx="28">
                  <c:v>22</c:v>
                </c:pt>
                <c:pt idx="29">
                  <c:v>24</c:v>
                </c:pt>
                <c:pt idx="30">
                  <c:v>24</c:v>
                </c:pt>
                <c:pt idx="31">
                  <c:v>24</c:v>
                </c:pt>
                <c:pt idx="32">
                  <c:v>27</c:v>
                </c:pt>
                <c:pt idx="33">
                  <c:v>27</c:v>
                </c:pt>
              </c:numCache>
            </c:numRef>
          </c:val>
          <c:smooth val="0"/>
          <c:extLst>
            <c:ext xmlns:c16="http://schemas.microsoft.com/office/drawing/2014/chart" uri="{C3380CC4-5D6E-409C-BE32-E72D297353CC}">
              <c16:uniqueId val="{00000001-16F1-40D2-86DB-9CFA168D25EA}"/>
            </c:ext>
          </c:extLst>
        </c:ser>
        <c:ser>
          <c:idx val="2"/>
          <c:order val="2"/>
          <c:tx>
            <c:v>LLE</c:v>
          </c:tx>
          <c:spPr>
            <a:ln w="28575" cap="rnd">
              <a:solidFill>
                <a:srgbClr val="92D050"/>
              </a:solidFill>
              <a:round/>
            </a:ln>
            <a:effectLst/>
          </c:spPr>
          <c:marker>
            <c:symbol val="none"/>
          </c:marker>
          <c:val>
            <c:numRef>
              <c:f>'7-MARCADOR_FINAL'!$B$2:$B$35</c:f>
              <c:numCache>
                <c:formatCode>General</c:formatCode>
                <c:ptCount val="34"/>
                <c:pt idx="0">
                  <c:v>0</c:v>
                </c:pt>
                <c:pt idx="1">
                  <c:v>0</c:v>
                </c:pt>
                <c:pt idx="2">
                  <c:v>2</c:v>
                </c:pt>
                <c:pt idx="3">
                  <c:v>2</c:v>
                </c:pt>
                <c:pt idx="4">
                  <c:v>4</c:v>
                </c:pt>
                <c:pt idx="5">
                  <c:v>4</c:v>
                </c:pt>
                <c:pt idx="6">
                  <c:v>4</c:v>
                </c:pt>
                <c:pt idx="7">
                  <c:v>5</c:v>
                </c:pt>
                <c:pt idx="8">
                  <c:v>6</c:v>
                </c:pt>
                <c:pt idx="9">
                  <c:v>6</c:v>
                </c:pt>
                <c:pt idx="10">
                  <c:v>7</c:v>
                </c:pt>
                <c:pt idx="11">
                  <c:v>7</c:v>
                </c:pt>
                <c:pt idx="12">
                  <c:v>7</c:v>
                </c:pt>
                <c:pt idx="13">
                  <c:v>9</c:v>
                </c:pt>
                <c:pt idx="14">
                  <c:v>9</c:v>
                </c:pt>
                <c:pt idx="15">
                  <c:v>10</c:v>
                </c:pt>
                <c:pt idx="16">
                  <c:v>11</c:v>
                </c:pt>
                <c:pt idx="17">
                  <c:v>13</c:v>
                </c:pt>
                <c:pt idx="18">
                  <c:v>14</c:v>
                </c:pt>
                <c:pt idx="19">
                  <c:v>16</c:v>
                </c:pt>
                <c:pt idx="20">
                  <c:v>17</c:v>
                </c:pt>
                <c:pt idx="21">
                  <c:v>17</c:v>
                </c:pt>
                <c:pt idx="22">
                  <c:v>17</c:v>
                </c:pt>
                <c:pt idx="23">
                  <c:v>17</c:v>
                </c:pt>
                <c:pt idx="24">
                  <c:v>17</c:v>
                </c:pt>
                <c:pt idx="25">
                  <c:v>18</c:v>
                </c:pt>
                <c:pt idx="26">
                  <c:v>18</c:v>
                </c:pt>
                <c:pt idx="27">
                  <c:v>20</c:v>
                </c:pt>
                <c:pt idx="28">
                  <c:v>21</c:v>
                </c:pt>
                <c:pt idx="29">
                  <c:v>21</c:v>
                </c:pt>
                <c:pt idx="30">
                  <c:v>23</c:v>
                </c:pt>
                <c:pt idx="31">
                  <c:v>25</c:v>
                </c:pt>
                <c:pt idx="32">
                  <c:v>25</c:v>
                </c:pt>
                <c:pt idx="33">
                  <c:v>27</c:v>
                </c:pt>
              </c:numCache>
            </c:numRef>
          </c:val>
          <c:smooth val="0"/>
          <c:extLst>
            <c:ext xmlns:c16="http://schemas.microsoft.com/office/drawing/2014/chart" uri="{C3380CC4-5D6E-409C-BE32-E72D297353CC}">
              <c16:uniqueId val="{00000002-16F1-40D2-86DB-9CFA168D25EA}"/>
            </c:ext>
          </c:extLst>
        </c:ser>
        <c:dLbls>
          <c:showLegendKey val="0"/>
          <c:showVal val="0"/>
          <c:showCatName val="0"/>
          <c:showSerName val="0"/>
          <c:showPercent val="0"/>
          <c:showBubbleSize val="0"/>
        </c:dLbls>
        <c:smooth val="0"/>
        <c:axId val="1315791071"/>
        <c:axId val="1315787231"/>
        <c:extLst>
          <c:ext xmlns:c15="http://schemas.microsoft.com/office/drawing/2012/chart" uri="{02D57815-91ED-43cb-92C2-25804820EDAC}">
            <c15:filteredLineSeries>
              <c15:ser>
                <c:idx val="0"/>
                <c:order val="0"/>
                <c:spPr>
                  <a:ln w="28575" cap="rnd">
                    <a:solidFill>
                      <a:schemeClr val="accent1"/>
                    </a:solidFill>
                    <a:round/>
                  </a:ln>
                  <a:effectLst/>
                </c:spPr>
                <c:marker>
                  <c:symbol val="none"/>
                </c:marker>
                <c:val>
                  <c:numRef>
                    <c:extLst>
                      <c:ext uri="{02D57815-91ED-43cb-92C2-25804820EDAC}">
                        <c15:formulaRef>
                          <c15:sqref>'7-MARCADOR_FINAL'!$E$2:$E$35</c15:sqref>
                        </c15:formulaRef>
                      </c:ext>
                    </c:extLst>
                    <c:numCache>
                      <c:formatCode>[$-F400]h:mm:ss\ AM/PM</c:formatCode>
                      <c:ptCount val="34"/>
                      <c:pt idx="0">
                        <c:v>0</c:v>
                      </c:pt>
                      <c:pt idx="1">
                        <c:v>2.3148148148148095E-4</c:v>
                      </c:pt>
                      <c:pt idx="2">
                        <c:v>5.0925925925925878E-4</c:v>
                      </c:pt>
                      <c:pt idx="3">
                        <c:v>6.1342592592592525E-4</c:v>
                      </c:pt>
                      <c:pt idx="4">
                        <c:v>7.9861111111111105E-4</c:v>
                      </c:pt>
                      <c:pt idx="5">
                        <c:v>7.9861111111111105E-4</c:v>
                      </c:pt>
                      <c:pt idx="6">
                        <c:v>1.4236111111111107E-3</c:v>
                      </c:pt>
                      <c:pt idx="7">
                        <c:v>1.6782407407407406E-3</c:v>
                      </c:pt>
                      <c:pt idx="8">
                        <c:v>1.6782407407407406E-3</c:v>
                      </c:pt>
                      <c:pt idx="9">
                        <c:v>1.828703703703703E-3</c:v>
                      </c:pt>
                      <c:pt idx="10">
                        <c:v>2.0601851851851849E-3</c:v>
                      </c:pt>
                      <c:pt idx="11">
                        <c:v>2.2453703703703698E-3</c:v>
                      </c:pt>
                      <c:pt idx="12">
                        <c:v>2.2453703703703698E-3</c:v>
                      </c:pt>
                      <c:pt idx="13">
                        <c:v>2.3842592592592587E-3</c:v>
                      </c:pt>
                      <c:pt idx="14">
                        <c:v>3.1481481481481477E-3</c:v>
                      </c:pt>
                      <c:pt idx="15">
                        <c:v>3.7615740740740739E-3</c:v>
                      </c:pt>
                      <c:pt idx="16">
                        <c:v>3.7615740740740739E-3</c:v>
                      </c:pt>
                      <c:pt idx="17">
                        <c:v>4.1435185185185186E-3</c:v>
                      </c:pt>
                      <c:pt idx="18">
                        <c:v>4.1435185185185186E-3</c:v>
                      </c:pt>
                      <c:pt idx="19">
                        <c:v>4.3518518518518515E-3</c:v>
                      </c:pt>
                      <c:pt idx="20">
                        <c:v>4.3518518518518515E-3</c:v>
                      </c:pt>
                      <c:pt idx="21">
                        <c:v>4.6296296296296294E-3</c:v>
                      </c:pt>
                      <c:pt idx="22">
                        <c:v>4.6296296296296294E-3</c:v>
                      </c:pt>
                      <c:pt idx="23">
                        <c:v>4.6296296296296294E-3</c:v>
                      </c:pt>
                      <c:pt idx="24">
                        <c:v>5.0115740740740737E-3</c:v>
                      </c:pt>
                      <c:pt idx="25">
                        <c:v>5.2430555555555555E-3</c:v>
                      </c:pt>
                      <c:pt idx="26">
                        <c:v>5.393518518518518E-3</c:v>
                      </c:pt>
                      <c:pt idx="27">
                        <c:v>5.5439814814814813E-3</c:v>
                      </c:pt>
                      <c:pt idx="28">
                        <c:v>5.5439814814814813E-3</c:v>
                      </c:pt>
                      <c:pt idx="29">
                        <c:v>5.9259259259259256E-3</c:v>
                      </c:pt>
                      <c:pt idx="30">
                        <c:v>6.2037037037037035E-3</c:v>
                      </c:pt>
                      <c:pt idx="31">
                        <c:v>6.5624999999999998E-3</c:v>
                      </c:pt>
                      <c:pt idx="32">
                        <c:v>6.8402777777777776E-3</c:v>
                      </c:pt>
                      <c:pt idx="33">
                        <c:v>6.9444444444444441E-3</c:v>
                      </c:pt>
                    </c:numCache>
                  </c:numRef>
                </c:val>
                <c:smooth val="0"/>
                <c:extLst>
                  <c:ext xmlns:c16="http://schemas.microsoft.com/office/drawing/2014/chart" uri="{C3380CC4-5D6E-409C-BE32-E72D297353CC}">
                    <c16:uniqueId val="{00000000-16F1-40D2-86DB-9CFA168D25EA}"/>
                  </c:ext>
                </c:extLst>
              </c15:ser>
            </c15:filteredLineSeries>
          </c:ext>
        </c:extLst>
      </c:lineChart>
      <c:catAx>
        <c:axId val="1315791071"/>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200" b="1"/>
                  <a:t>Tiempo 1Q</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majorTickMark val="out"/>
        <c:minorTickMark val="none"/>
        <c:tickLblPos val="nextTo"/>
        <c:crossAx val="1315787231"/>
        <c:crosses val="autoZero"/>
        <c:auto val="1"/>
        <c:lblAlgn val="ctr"/>
        <c:lblOffset val="100"/>
        <c:noMultiLvlLbl val="0"/>
      </c:catAx>
      <c:valAx>
        <c:axId val="13157872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200"/>
                  <a:t>Puntos</a:t>
                </a:r>
                <a:endParaRPr lang="es-E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1579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2000" b="1"/>
              <a:t>EVOLUCIÓN</a:t>
            </a:r>
            <a:r>
              <a:rPr lang="es-ES" sz="2000" b="1" baseline="0"/>
              <a:t> DEL MARCADOR</a:t>
            </a:r>
            <a:endParaRPr lang="es-E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1"/>
          <c:tx>
            <c:v>MAN</c:v>
          </c:tx>
          <c:spPr>
            <a:ln w="28575" cap="rnd">
              <a:solidFill>
                <a:schemeClr val="accent2"/>
              </a:solidFill>
              <a:round/>
            </a:ln>
            <a:effectLst/>
          </c:spPr>
          <c:marker>
            <c:symbol val="none"/>
          </c:marker>
          <c:dPt>
            <c:idx val="26"/>
            <c:marker>
              <c:symbol val="none"/>
            </c:marker>
            <c:bubble3D val="0"/>
            <c:spPr>
              <a:ln w="28575" cap="rnd">
                <a:solidFill>
                  <a:srgbClr val="FF0000"/>
                </a:solidFill>
                <a:round/>
              </a:ln>
              <a:effectLst/>
            </c:spPr>
            <c:extLst>
              <c:ext xmlns:c16="http://schemas.microsoft.com/office/drawing/2014/chart" uri="{C3380CC4-5D6E-409C-BE32-E72D297353CC}">
                <c16:uniqueId val="{00000001-F7F2-464D-BCA6-0C923508B0F6}"/>
              </c:ext>
            </c:extLst>
          </c:dPt>
          <c:val>
            <c:numRef>
              <c:f>'7-MARCADOR_FINAL'!$A$2:$A$35</c:f>
              <c:numCache>
                <c:formatCode>General</c:formatCode>
                <c:ptCount val="34"/>
                <c:pt idx="0">
                  <c:v>0</c:v>
                </c:pt>
                <c:pt idx="1">
                  <c:v>2</c:v>
                </c:pt>
                <c:pt idx="2">
                  <c:v>2</c:v>
                </c:pt>
                <c:pt idx="3">
                  <c:v>4</c:v>
                </c:pt>
                <c:pt idx="4">
                  <c:v>4</c:v>
                </c:pt>
                <c:pt idx="5">
                  <c:v>7</c:v>
                </c:pt>
                <c:pt idx="6">
                  <c:v>10</c:v>
                </c:pt>
                <c:pt idx="7">
                  <c:v>10</c:v>
                </c:pt>
                <c:pt idx="8">
                  <c:v>10</c:v>
                </c:pt>
                <c:pt idx="9">
                  <c:v>12</c:v>
                </c:pt>
                <c:pt idx="10">
                  <c:v>12</c:v>
                </c:pt>
                <c:pt idx="11">
                  <c:v>13</c:v>
                </c:pt>
                <c:pt idx="12">
                  <c:v>14</c:v>
                </c:pt>
                <c:pt idx="13">
                  <c:v>14</c:v>
                </c:pt>
                <c:pt idx="14">
                  <c:v>16</c:v>
                </c:pt>
                <c:pt idx="15">
                  <c:v>16</c:v>
                </c:pt>
                <c:pt idx="16">
                  <c:v>16</c:v>
                </c:pt>
                <c:pt idx="17">
                  <c:v>16</c:v>
                </c:pt>
                <c:pt idx="18">
                  <c:v>16</c:v>
                </c:pt>
                <c:pt idx="19">
                  <c:v>16</c:v>
                </c:pt>
                <c:pt idx="20">
                  <c:v>16</c:v>
                </c:pt>
                <c:pt idx="21">
                  <c:v>17</c:v>
                </c:pt>
                <c:pt idx="22">
                  <c:v>18</c:v>
                </c:pt>
                <c:pt idx="23">
                  <c:v>19</c:v>
                </c:pt>
                <c:pt idx="24">
                  <c:v>21</c:v>
                </c:pt>
                <c:pt idx="25">
                  <c:v>21</c:v>
                </c:pt>
                <c:pt idx="26">
                  <c:v>22</c:v>
                </c:pt>
                <c:pt idx="27">
                  <c:v>22</c:v>
                </c:pt>
                <c:pt idx="28">
                  <c:v>22</c:v>
                </c:pt>
                <c:pt idx="29">
                  <c:v>24</c:v>
                </c:pt>
                <c:pt idx="30">
                  <c:v>24</c:v>
                </c:pt>
                <c:pt idx="31">
                  <c:v>24</c:v>
                </c:pt>
                <c:pt idx="32">
                  <c:v>27</c:v>
                </c:pt>
                <c:pt idx="33">
                  <c:v>27</c:v>
                </c:pt>
              </c:numCache>
            </c:numRef>
          </c:val>
          <c:smooth val="0"/>
          <c:extLst>
            <c:ext xmlns:c16="http://schemas.microsoft.com/office/drawing/2014/chart" uri="{C3380CC4-5D6E-409C-BE32-E72D297353CC}">
              <c16:uniqueId val="{00000002-F7F2-464D-BCA6-0C923508B0F6}"/>
            </c:ext>
          </c:extLst>
        </c:ser>
        <c:ser>
          <c:idx val="2"/>
          <c:order val="2"/>
          <c:tx>
            <c:v>LLE</c:v>
          </c:tx>
          <c:spPr>
            <a:ln w="28575" cap="rnd">
              <a:solidFill>
                <a:srgbClr val="00B050"/>
              </a:solidFill>
              <a:round/>
            </a:ln>
            <a:effectLst/>
          </c:spPr>
          <c:marker>
            <c:symbol val="none"/>
          </c:marker>
          <c:val>
            <c:numRef>
              <c:f>'7-MARCADOR_FINAL'!$B$2:$B$35</c:f>
              <c:numCache>
                <c:formatCode>General</c:formatCode>
                <c:ptCount val="34"/>
                <c:pt idx="0">
                  <c:v>0</c:v>
                </c:pt>
                <c:pt idx="1">
                  <c:v>0</c:v>
                </c:pt>
                <c:pt idx="2">
                  <c:v>2</c:v>
                </c:pt>
                <c:pt idx="3">
                  <c:v>2</c:v>
                </c:pt>
                <c:pt idx="4">
                  <c:v>4</c:v>
                </c:pt>
                <c:pt idx="5">
                  <c:v>4</c:v>
                </c:pt>
                <c:pt idx="6">
                  <c:v>4</c:v>
                </c:pt>
                <c:pt idx="7">
                  <c:v>5</c:v>
                </c:pt>
                <c:pt idx="8">
                  <c:v>6</c:v>
                </c:pt>
                <c:pt idx="9">
                  <c:v>6</c:v>
                </c:pt>
                <c:pt idx="10">
                  <c:v>7</c:v>
                </c:pt>
                <c:pt idx="11">
                  <c:v>7</c:v>
                </c:pt>
                <c:pt idx="12">
                  <c:v>7</c:v>
                </c:pt>
                <c:pt idx="13">
                  <c:v>9</c:v>
                </c:pt>
                <c:pt idx="14">
                  <c:v>9</c:v>
                </c:pt>
                <c:pt idx="15">
                  <c:v>10</c:v>
                </c:pt>
                <c:pt idx="16">
                  <c:v>11</c:v>
                </c:pt>
                <c:pt idx="17">
                  <c:v>13</c:v>
                </c:pt>
                <c:pt idx="18">
                  <c:v>14</c:v>
                </c:pt>
                <c:pt idx="19">
                  <c:v>16</c:v>
                </c:pt>
                <c:pt idx="20">
                  <c:v>17</c:v>
                </c:pt>
                <c:pt idx="21">
                  <c:v>17</c:v>
                </c:pt>
                <c:pt idx="22">
                  <c:v>17</c:v>
                </c:pt>
                <c:pt idx="23">
                  <c:v>17</c:v>
                </c:pt>
                <c:pt idx="24">
                  <c:v>17</c:v>
                </c:pt>
                <c:pt idx="25">
                  <c:v>18</c:v>
                </c:pt>
                <c:pt idx="26">
                  <c:v>18</c:v>
                </c:pt>
                <c:pt idx="27">
                  <c:v>20</c:v>
                </c:pt>
                <c:pt idx="28">
                  <c:v>21</c:v>
                </c:pt>
                <c:pt idx="29">
                  <c:v>21</c:v>
                </c:pt>
                <c:pt idx="30">
                  <c:v>23</c:v>
                </c:pt>
                <c:pt idx="31">
                  <c:v>25</c:v>
                </c:pt>
                <c:pt idx="32">
                  <c:v>25</c:v>
                </c:pt>
                <c:pt idx="33">
                  <c:v>27</c:v>
                </c:pt>
              </c:numCache>
            </c:numRef>
          </c:val>
          <c:smooth val="0"/>
          <c:extLst>
            <c:ext xmlns:c16="http://schemas.microsoft.com/office/drawing/2014/chart" uri="{C3380CC4-5D6E-409C-BE32-E72D297353CC}">
              <c16:uniqueId val="{00000003-F7F2-464D-BCA6-0C923508B0F6}"/>
            </c:ext>
          </c:extLst>
        </c:ser>
        <c:dLbls>
          <c:showLegendKey val="0"/>
          <c:showVal val="0"/>
          <c:showCatName val="0"/>
          <c:showSerName val="0"/>
          <c:showPercent val="0"/>
          <c:showBubbleSize val="0"/>
        </c:dLbls>
        <c:smooth val="0"/>
        <c:axId val="1315791071"/>
        <c:axId val="1315787231"/>
        <c:extLst>
          <c:ext xmlns:c15="http://schemas.microsoft.com/office/drawing/2012/chart" uri="{02D57815-91ED-43cb-92C2-25804820EDAC}">
            <c15:filteredLineSeries>
              <c15:ser>
                <c:idx val="0"/>
                <c:order val="0"/>
                <c:spPr>
                  <a:ln w="28575" cap="rnd">
                    <a:solidFill>
                      <a:schemeClr val="accent1"/>
                    </a:solidFill>
                    <a:round/>
                  </a:ln>
                  <a:effectLst/>
                </c:spPr>
                <c:marker>
                  <c:symbol val="none"/>
                </c:marker>
                <c:val>
                  <c:numRef>
                    <c:extLst>
                      <c:ext uri="{02D57815-91ED-43cb-92C2-25804820EDAC}">
                        <c15:formulaRef>
                          <c15:sqref>'7-MARCADOR_FINAL'!$E$2:$E$35</c15:sqref>
                        </c15:formulaRef>
                      </c:ext>
                    </c:extLst>
                    <c:numCache>
                      <c:formatCode>[$-F400]h:mm:ss\ AM/PM</c:formatCode>
                      <c:ptCount val="34"/>
                      <c:pt idx="0">
                        <c:v>0</c:v>
                      </c:pt>
                      <c:pt idx="1">
                        <c:v>2.3148148148148095E-4</c:v>
                      </c:pt>
                      <c:pt idx="2">
                        <c:v>5.0925925925925878E-4</c:v>
                      </c:pt>
                      <c:pt idx="3">
                        <c:v>6.1342592592592525E-4</c:v>
                      </c:pt>
                      <c:pt idx="4">
                        <c:v>7.9861111111111105E-4</c:v>
                      </c:pt>
                      <c:pt idx="5">
                        <c:v>7.9861111111111105E-4</c:v>
                      </c:pt>
                      <c:pt idx="6">
                        <c:v>1.4236111111111107E-3</c:v>
                      </c:pt>
                      <c:pt idx="7">
                        <c:v>1.6782407407407406E-3</c:v>
                      </c:pt>
                      <c:pt idx="8">
                        <c:v>1.6782407407407406E-3</c:v>
                      </c:pt>
                      <c:pt idx="9">
                        <c:v>1.828703703703703E-3</c:v>
                      </c:pt>
                      <c:pt idx="10">
                        <c:v>2.0601851851851849E-3</c:v>
                      </c:pt>
                      <c:pt idx="11">
                        <c:v>2.2453703703703698E-3</c:v>
                      </c:pt>
                      <c:pt idx="12">
                        <c:v>2.2453703703703698E-3</c:v>
                      </c:pt>
                      <c:pt idx="13">
                        <c:v>2.3842592592592587E-3</c:v>
                      </c:pt>
                      <c:pt idx="14">
                        <c:v>3.1481481481481477E-3</c:v>
                      </c:pt>
                      <c:pt idx="15">
                        <c:v>3.7615740740740739E-3</c:v>
                      </c:pt>
                      <c:pt idx="16">
                        <c:v>3.7615740740740739E-3</c:v>
                      </c:pt>
                      <c:pt idx="17">
                        <c:v>4.1435185185185186E-3</c:v>
                      </c:pt>
                      <c:pt idx="18">
                        <c:v>4.1435185185185186E-3</c:v>
                      </c:pt>
                      <c:pt idx="19">
                        <c:v>4.3518518518518515E-3</c:v>
                      </c:pt>
                      <c:pt idx="20">
                        <c:v>4.3518518518518515E-3</c:v>
                      </c:pt>
                      <c:pt idx="21">
                        <c:v>4.6296296296296294E-3</c:v>
                      </c:pt>
                      <c:pt idx="22">
                        <c:v>4.6296296296296294E-3</c:v>
                      </c:pt>
                      <c:pt idx="23">
                        <c:v>4.6296296296296294E-3</c:v>
                      </c:pt>
                      <c:pt idx="24">
                        <c:v>5.0115740740740737E-3</c:v>
                      </c:pt>
                      <c:pt idx="25">
                        <c:v>5.2430555555555555E-3</c:v>
                      </c:pt>
                      <c:pt idx="26">
                        <c:v>5.393518518518518E-3</c:v>
                      </c:pt>
                      <c:pt idx="27">
                        <c:v>5.5439814814814813E-3</c:v>
                      </c:pt>
                      <c:pt idx="28">
                        <c:v>5.5439814814814813E-3</c:v>
                      </c:pt>
                      <c:pt idx="29">
                        <c:v>5.9259259259259256E-3</c:v>
                      </c:pt>
                      <c:pt idx="30">
                        <c:v>6.2037037037037035E-3</c:v>
                      </c:pt>
                      <c:pt idx="31">
                        <c:v>6.5624999999999998E-3</c:v>
                      </c:pt>
                      <c:pt idx="32">
                        <c:v>6.8402777777777776E-3</c:v>
                      </c:pt>
                      <c:pt idx="33">
                        <c:v>6.9444444444444441E-3</c:v>
                      </c:pt>
                    </c:numCache>
                  </c:numRef>
                </c:val>
                <c:smooth val="0"/>
                <c:extLst>
                  <c:ext xmlns:c16="http://schemas.microsoft.com/office/drawing/2014/chart" uri="{C3380CC4-5D6E-409C-BE32-E72D297353CC}">
                    <c16:uniqueId val="{00000004-F7F2-464D-BCA6-0C923508B0F6}"/>
                  </c:ext>
                </c:extLst>
              </c15:ser>
            </c15:filteredLineSeries>
          </c:ext>
        </c:extLst>
      </c:lineChart>
      <c:catAx>
        <c:axId val="1315791071"/>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200" b="1"/>
                  <a:t>Tiempo 1Q</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majorTickMark val="out"/>
        <c:minorTickMark val="none"/>
        <c:tickLblPos val="nextTo"/>
        <c:crossAx val="1315787231"/>
        <c:crosses val="autoZero"/>
        <c:auto val="1"/>
        <c:lblAlgn val="ctr"/>
        <c:lblOffset val="100"/>
        <c:noMultiLvlLbl val="0"/>
      </c:catAx>
      <c:valAx>
        <c:axId val="13157872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200"/>
                  <a:t>Puntos</a:t>
                </a:r>
                <a:endParaRPr lang="es-E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1579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2400" b="1"/>
              <a:t>MANRESA</a:t>
            </a:r>
            <a:r>
              <a:rPr lang="es-ES" sz="2400" b="1" baseline="0"/>
              <a:t> - Puntos Por Jugador</a:t>
            </a:r>
            <a:endParaRPr lang="es-ES" sz="2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solidFill>
              <a:srgbClr val="FF0000"/>
            </a:solidFill>
            <a:ln>
              <a:noFill/>
            </a:ln>
            <a:effectLst/>
          </c:spPr>
          <c:invertIfNegative val="0"/>
          <c:cat>
            <c:strRef>
              <c:f>'4-BOXSCORE_1Q'!$A$2:$A$13</c:f>
              <c:strCache>
                <c:ptCount val="12"/>
                <c:pt idx="0">
                  <c:v>JM00</c:v>
                </c:pt>
                <c:pt idx="1">
                  <c:v>JM02</c:v>
                </c:pt>
                <c:pt idx="2">
                  <c:v>JM08</c:v>
                </c:pt>
                <c:pt idx="3">
                  <c:v>JM11</c:v>
                </c:pt>
                <c:pt idx="4">
                  <c:v>JM12</c:v>
                </c:pt>
                <c:pt idx="5">
                  <c:v>JM18</c:v>
                </c:pt>
                <c:pt idx="6">
                  <c:v>JM19</c:v>
                </c:pt>
                <c:pt idx="7">
                  <c:v>JM32</c:v>
                </c:pt>
                <c:pt idx="8">
                  <c:v>JM33</c:v>
                </c:pt>
                <c:pt idx="9">
                  <c:v>JM47</c:v>
                </c:pt>
                <c:pt idx="10">
                  <c:v>JM55</c:v>
                </c:pt>
                <c:pt idx="11">
                  <c:v>JM99</c:v>
                </c:pt>
              </c:strCache>
            </c:strRef>
          </c:cat>
          <c:val>
            <c:numRef>
              <c:f>'4-BOXSCORE_1Q'!$D$2:$D$13</c:f>
              <c:numCache>
                <c:formatCode>General</c:formatCode>
                <c:ptCount val="12"/>
                <c:pt idx="0">
                  <c:v>0</c:v>
                </c:pt>
                <c:pt idx="1">
                  <c:v>5</c:v>
                </c:pt>
                <c:pt idx="2">
                  <c:v>5</c:v>
                </c:pt>
                <c:pt idx="3">
                  <c:v>2</c:v>
                </c:pt>
                <c:pt idx="4">
                  <c:v>0</c:v>
                </c:pt>
                <c:pt idx="5">
                  <c:v>0</c:v>
                </c:pt>
                <c:pt idx="6">
                  <c:v>1</c:v>
                </c:pt>
                <c:pt idx="7">
                  <c:v>4</c:v>
                </c:pt>
                <c:pt idx="8">
                  <c:v>2</c:v>
                </c:pt>
                <c:pt idx="9">
                  <c:v>0</c:v>
                </c:pt>
                <c:pt idx="10">
                  <c:v>3</c:v>
                </c:pt>
                <c:pt idx="11">
                  <c:v>5</c:v>
                </c:pt>
              </c:numCache>
            </c:numRef>
          </c:val>
          <c:extLst>
            <c:ext xmlns:c16="http://schemas.microsoft.com/office/drawing/2014/chart" uri="{C3380CC4-5D6E-409C-BE32-E72D297353CC}">
              <c16:uniqueId val="{00000001-8E95-41CE-90E2-D0ED0630CB18}"/>
            </c:ext>
          </c:extLst>
        </c:ser>
        <c:dLbls>
          <c:showLegendKey val="0"/>
          <c:showVal val="0"/>
          <c:showCatName val="0"/>
          <c:showSerName val="0"/>
          <c:showPercent val="0"/>
          <c:showBubbleSize val="0"/>
        </c:dLbls>
        <c:gapWidth val="219"/>
        <c:axId val="1275944384"/>
        <c:axId val="1275941984"/>
      </c:barChart>
      <c:catAx>
        <c:axId val="1275944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800" b="1"/>
                  <a:t>Jugador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75941984"/>
        <c:crosses val="autoZero"/>
        <c:auto val="1"/>
        <c:lblAlgn val="ctr"/>
        <c:lblOffset val="100"/>
        <c:noMultiLvlLbl val="0"/>
      </c:catAx>
      <c:valAx>
        <c:axId val="1275941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800" b="1"/>
                  <a:t>Puntos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7594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2400" b="1" baseline="0"/>
              <a:t>LLEIDA - Puntos Por Jugador</a:t>
            </a:r>
            <a:endParaRPr lang="es-ES" sz="2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spPr>
            <a:solidFill>
              <a:srgbClr val="00B050"/>
            </a:solidFill>
            <a:ln>
              <a:noFill/>
            </a:ln>
            <a:effectLst/>
          </c:spPr>
          <c:invertIfNegative val="0"/>
          <c:cat>
            <c:strRef>
              <c:f>'4-BOXSCORE_1Q'!$A$18:$A$29</c:f>
              <c:strCache>
                <c:ptCount val="12"/>
                <c:pt idx="0">
                  <c:v>JL01</c:v>
                </c:pt>
                <c:pt idx="1">
                  <c:v>JL02</c:v>
                </c:pt>
                <c:pt idx="2">
                  <c:v>JL03</c:v>
                </c:pt>
                <c:pt idx="3">
                  <c:v>JL04</c:v>
                </c:pt>
                <c:pt idx="4">
                  <c:v>JL05</c:v>
                </c:pt>
                <c:pt idx="5">
                  <c:v>JL06</c:v>
                </c:pt>
                <c:pt idx="6">
                  <c:v>JL07</c:v>
                </c:pt>
                <c:pt idx="7">
                  <c:v>JL12</c:v>
                </c:pt>
                <c:pt idx="8">
                  <c:v>JL14</c:v>
                </c:pt>
                <c:pt idx="9">
                  <c:v>JL16</c:v>
                </c:pt>
                <c:pt idx="10">
                  <c:v>JL22</c:v>
                </c:pt>
                <c:pt idx="11">
                  <c:v>JL25</c:v>
                </c:pt>
              </c:strCache>
            </c:strRef>
          </c:cat>
          <c:val>
            <c:numRef>
              <c:f>'4-BOXSCORE_1Q'!$D$18:$D$29</c:f>
              <c:numCache>
                <c:formatCode>General</c:formatCode>
                <c:ptCount val="12"/>
                <c:pt idx="0">
                  <c:v>1</c:v>
                </c:pt>
                <c:pt idx="1">
                  <c:v>6</c:v>
                </c:pt>
                <c:pt idx="2">
                  <c:v>0</c:v>
                </c:pt>
                <c:pt idx="3">
                  <c:v>4</c:v>
                </c:pt>
                <c:pt idx="4">
                  <c:v>0</c:v>
                </c:pt>
                <c:pt idx="5">
                  <c:v>2</c:v>
                </c:pt>
                <c:pt idx="6">
                  <c:v>6</c:v>
                </c:pt>
                <c:pt idx="7">
                  <c:v>4</c:v>
                </c:pt>
                <c:pt idx="8">
                  <c:v>0</c:v>
                </c:pt>
                <c:pt idx="9">
                  <c:v>2</c:v>
                </c:pt>
                <c:pt idx="10">
                  <c:v>0</c:v>
                </c:pt>
                <c:pt idx="11">
                  <c:v>2</c:v>
                </c:pt>
              </c:numCache>
            </c:numRef>
          </c:val>
          <c:extLst>
            <c:ext xmlns:c16="http://schemas.microsoft.com/office/drawing/2014/chart" uri="{C3380CC4-5D6E-409C-BE32-E72D297353CC}">
              <c16:uniqueId val="{00000000-197C-4380-8437-A2FB2B3C397D}"/>
            </c:ext>
          </c:extLst>
        </c:ser>
        <c:dLbls>
          <c:showLegendKey val="0"/>
          <c:showVal val="0"/>
          <c:showCatName val="0"/>
          <c:showSerName val="0"/>
          <c:showPercent val="0"/>
          <c:showBubbleSize val="0"/>
        </c:dLbls>
        <c:gapWidth val="219"/>
        <c:axId val="1275944384"/>
        <c:axId val="1275941984"/>
      </c:barChart>
      <c:catAx>
        <c:axId val="1275944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800" b="1"/>
                  <a:t>Jugador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75941984"/>
        <c:crosses val="autoZero"/>
        <c:auto val="1"/>
        <c:lblAlgn val="ctr"/>
        <c:lblOffset val="100"/>
        <c:noMultiLvlLbl val="0"/>
      </c:catAx>
      <c:valAx>
        <c:axId val="1275941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800" b="1"/>
                  <a:t>Puntos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7594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2000" b="1"/>
              <a:t>MANRESA-T2_Anotados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45-4468-B4F7-CED6F2A616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45-4468-B4F7-CED6F2A616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'8-Metricas_Avanzadas'!$AM$1:$AN$1</c:f>
              <c:strCache>
                <c:ptCount val="2"/>
                <c:pt idx="0">
                  <c:v>%T2_ASISTIDOS</c:v>
                </c:pt>
                <c:pt idx="1">
                  <c:v>%T2_NO_ASISTIDOS</c:v>
                </c:pt>
              </c:strCache>
            </c:strRef>
          </c:cat>
          <c:val>
            <c:numRef>
              <c:f>'8-Metricas_Avanzadas'!$AM$2:$AN$2</c:f>
              <c:numCache>
                <c:formatCode>0%</c:formatCode>
                <c:ptCount val="2"/>
                <c:pt idx="0">
                  <c:v>0.33333333333333331</c:v>
                </c:pt>
                <c:pt idx="1">
                  <c:v>0.66666666666666663</c:v>
                </c:pt>
              </c:numCache>
            </c:numRef>
          </c:val>
          <c:extLst>
            <c:ext xmlns:c16="http://schemas.microsoft.com/office/drawing/2014/chart" uri="{C3380CC4-5D6E-409C-BE32-E72D297353CC}">
              <c16:uniqueId val="{00000004-4345-4468-B4F7-CED6F2A6161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2000" b="1"/>
              <a:t>MANRESA-T3_Anotados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5E-4565-9FD5-F4090A1292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5E-4565-9FD5-F4090A1292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'8-Metricas_Avanzadas'!$AM$1:$AN$1</c:f>
              <c:strCache>
                <c:ptCount val="2"/>
                <c:pt idx="0">
                  <c:v>%T2_ASISTIDOS</c:v>
                </c:pt>
                <c:pt idx="1">
                  <c:v>%T2_NO_ASISTIDOS</c:v>
                </c:pt>
              </c:strCache>
            </c:strRef>
          </c:cat>
          <c:val>
            <c:numRef>
              <c:f>'8-Metricas_Avanzadas'!$AM$5:$AN$5</c:f>
              <c:numCache>
                <c:formatCode>0%</c:formatCode>
                <c:ptCount val="2"/>
                <c:pt idx="0">
                  <c:v>0.66666666666666663</c:v>
                </c:pt>
                <c:pt idx="1">
                  <c:v>0.33333333333333331</c:v>
                </c:pt>
              </c:numCache>
            </c:numRef>
          </c:val>
          <c:extLst>
            <c:ext xmlns:c16="http://schemas.microsoft.com/office/drawing/2014/chart" uri="{C3380CC4-5D6E-409C-BE32-E72D297353CC}">
              <c16:uniqueId val="{00000004-995E-4565-9FD5-F4090A12925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2000" b="1"/>
              <a:t>LLEIDA-T2_Anotados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EB-451E-A10B-99086FD66A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EB-451E-A10B-99086FD66AF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'8-Metricas_Avanzadas'!$AM$1:$AN$1</c:f>
              <c:strCache>
                <c:ptCount val="2"/>
                <c:pt idx="0">
                  <c:v>%T2_ASISTIDOS</c:v>
                </c:pt>
                <c:pt idx="1">
                  <c:v>%T2_NO_ASISTIDOS</c:v>
                </c:pt>
              </c:strCache>
            </c:strRef>
          </c:cat>
          <c:val>
            <c:numRef>
              <c:f>'8-Metricas_Avanzadas'!$AM$3:$AN$3</c:f>
              <c:numCache>
                <c:formatCode>0%</c:formatCode>
                <c:ptCount val="2"/>
                <c:pt idx="0">
                  <c:v>0.55555555555555558</c:v>
                </c:pt>
                <c:pt idx="1">
                  <c:v>0.44444444444444442</c:v>
                </c:pt>
              </c:numCache>
            </c:numRef>
          </c:val>
          <c:extLst>
            <c:ext xmlns:c16="http://schemas.microsoft.com/office/drawing/2014/chart" uri="{C3380CC4-5D6E-409C-BE32-E72D297353CC}">
              <c16:uniqueId val="{00000004-A0EB-451E-A10B-99086FD66AF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2000" b="1"/>
              <a:t>LLEIDA-T3_Anotados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C3-41CF-ADF2-B39ED642C6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C3-41CF-ADF2-B39ED642C6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'8-Metricas_Avanzadas'!$AM$1:$AN$1</c:f>
              <c:strCache>
                <c:ptCount val="2"/>
                <c:pt idx="0">
                  <c:v>%T2_ASISTIDOS</c:v>
                </c:pt>
                <c:pt idx="1">
                  <c:v>%T2_NO_ASISTIDOS</c:v>
                </c:pt>
              </c:strCache>
            </c:strRef>
          </c:cat>
          <c:val>
            <c:numRef>
              <c:f>'8-Metricas_Avanzadas'!$AM$6:$AN$6</c:f>
              <c:numCache>
                <c:formatCode>0%</c:formatCode>
                <c:ptCount val="2"/>
                <c:pt idx="0">
                  <c:v>0</c:v>
                </c:pt>
                <c:pt idx="1">
                  <c:v>0</c:v>
                </c:pt>
              </c:numCache>
            </c:numRef>
          </c:val>
          <c:extLst>
            <c:ext xmlns:c16="http://schemas.microsoft.com/office/drawing/2014/chart" uri="{C3380CC4-5D6E-409C-BE32-E72D297353CC}">
              <c16:uniqueId val="{00000004-64C3-41CF-ADF2-B39ED642C63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MANRESA</a:t>
            </a:r>
            <a:r>
              <a:rPr lang="en-US" sz="2000" b="1" baseline="0"/>
              <a:t> </a:t>
            </a:r>
            <a:r>
              <a:rPr lang="en-US" sz="2000" b="1"/>
              <a:t>- Valoración</a:t>
            </a:r>
            <a:r>
              <a:rPr lang="en-US" sz="2000" b="1" baseline="0"/>
              <a:t> vs </a:t>
            </a:r>
            <a:r>
              <a:rPr lang="en-US" sz="2000" b="1"/>
              <a:t>Tiempo_Jugado</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MANRESA</c:v>
          </c:tx>
          <c:spPr>
            <a:ln w="25400" cap="rnd">
              <a:noFill/>
              <a:round/>
            </a:ln>
            <a:effectLst/>
          </c:spPr>
          <c:marker>
            <c:symbol val="circle"/>
            <c:size val="5"/>
            <c:spPr>
              <a:solidFill>
                <a:srgbClr val="FF0000"/>
              </a:solidFill>
              <a:ln w="9525">
                <a:noFill/>
              </a:ln>
              <a:effectLst/>
            </c:spPr>
          </c:marker>
          <c:dLbls>
            <c:dLbl>
              <c:idx val="0"/>
              <c:tx>
                <c:rich>
                  <a:bodyPr/>
                  <a:lstStyle/>
                  <a:p>
                    <a:fld id="{A0AEB117-0E57-42B4-81FE-B26B4F25662F}"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71E-4A9D-8102-9BE441E22229}"/>
                </c:ext>
              </c:extLst>
            </c:dLbl>
            <c:dLbl>
              <c:idx val="1"/>
              <c:tx>
                <c:rich>
                  <a:bodyPr/>
                  <a:lstStyle/>
                  <a:p>
                    <a:fld id="{51232D5D-1F32-4C49-9851-FECDCF86ED43}"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F71E-4A9D-8102-9BE441E22229}"/>
                </c:ext>
              </c:extLst>
            </c:dLbl>
            <c:dLbl>
              <c:idx val="2"/>
              <c:tx>
                <c:rich>
                  <a:bodyPr/>
                  <a:lstStyle/>
                  <a:p>
                    <a:fld id="{E68561CD-1230-4574-A1B4-CC225E113364}"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71E-4A9D-8102-9BE441E22229}"/>
                </c:ext>
              </c:extLst>
            </c:dLbl>
            <c:dLbl>
              <c:idx val="3"/>
              <c:tx>
                <c:rich>
                  <a:bodyPr/>
                  <a:lstStyle/>
                  <a:p>
                    <a:fld id="{908AD48B-445B-45C3-AF4D-FCBC9048B869}"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71E-4A9D-8102-9BE441E22229}"/>
                </c:ext>
              </c:extLst>
            </c:dLbl>
            <c:dLbl>
              <c:idx val="4"/>
              <c:tx>
                <c:rich>
                  <a:bodyPr/>
                  <a:lstStyle/>
                  <a:p>
                    <a:fld id="{0F6908BD-5473-4090-9257-7F108E0CA7D8}"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71E-4A9D-8102-9BE441E22229}"/>
                </c:ext>
              </c:extLst>
            </c:dLbl>
            <c:dLbl>
              <c:idx val="5"/>
              <c:tx>
                <c:rich>
                  <a:bodyPr/>
                  <a:lstStyle/>
                  <a:p>
                    <a:fld id="{937A34A5-867F-4961-AEA3-94E7EA17D3C1}"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71E-4A9D-8102-9BE441E22229}"/>
                </c:ext>
              </c:extLst>
            </c:dLbl>
            <c:dLbl>
              <c:idx val="6"/>
              <c:tx>
                <c:rich>
                  <a:bodyPr/>
                  <a:lstStyle/>
                  <a:p>
                    <a:fld id="{F595EA25-2451-4CF3-9812-01FDDE2A5855}"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F71E-4A9D-8102-9BE441E22229}"/>
                </c:ext>
              </c:extLst>
            </c:dLbl>
            <c:dLbl>
              <c:idx val="7"/>
              <c:tx>
                <c:rich>
                  <a:bodyPr/>
                  <a:lstStyle/>
                  <a:p>
                    <a:fld id="{651205FB-6647-4DE7-BF23-7224CD28AD66}"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71E-4A9D-8102-9BE441E22229}"/>
                </c:ext>
              </c:extLst>
            </c:dLbl>
            <c:dLbl>
              <c:idx val="8"/>
              <c:tx>
                <c:rich>
                  <a:bodyPr/>
                  <a:lstStyle/>
                  <a:p>
                    <a:fld id="{85579B52-1171-4B4B-8E89-5C97AFEE8ECC}"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F71E-4A9D-8102-9BE441E22229}"/>
                </c:ext>
              </c:extLst>
            </c:dLbl>
            <c:dLbl>
              <c:idx val="9"/>
              <c:tx>
                <c:rich>
                  <a:bodyPr/>
                  <a:lstStyle/>
                  <a:p>
                    <a:fld id="{91E3660B-A211-45CB-B39D-69F5B4F6699C}"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F71E-4A9D-8102-9BE441E22229}"/>
                </c:ext>
              </c:extLst>
            </c:dLbl>
            <c:dLbl>
              <c:idx val="10"/>
              <c:tx>
                <c:rich>
                  <a:bodyPr/>
                  <a:lstStyle/>
                  <a:p>
                    <a:fld id="{0CEBD9C0-8F27-4C37-BF91-66464C52633C}"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F71E-4A9D-8102-9BE441E22229}"/>
                </c:ext>
              </c:extLst>
            </c:dLbl>
            <c:dLbl>
              <c:idx val="11"/>
              <c:tx>
                <c:rich>
                  <a:bodyPr/>
                  <a:lstStyle/>
                  <a:p>
                    <a:fld id="{30EDB806-BE16-4721-A4A0-65A8F9482A6E}"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F71E-4A9D-8102-9BE441E222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'4-BOXSCORE_1Q'!$C$2:$C$13</c:f>
              <c:numCache>
                <c:formatCode>[$-F400]h:mm:ss\ AM/PM</c:formatCode>
                <c:ptCount val="12"/>
                <c:pt idx="0">
                  <c:v>1.4004629629629627E-3</c:v>
                </c:pt>
                <c:pt idx="1">
                  <c:v>2.6388888888888842E-3</c:v>
                </c:pt>
                <c:pt idx="2">
                  <c:v>3.7615740740740695E-3</c:v>
                </c:pt>
                <c:pt idx="3">
                  <c:v>3.1828703703703702E-3</c:v>
                </c:pt>
                <c:pt idx="4">
                  <c:v>4.837962962962958E-3</c:v>
                </c:pt>
                <c:pt idx="5">
                  <c:v>0</c:v>
                </c:pt>
                <c:pt idx="6">
                  <c:v>3.1481481481481482E-3</c:v>
                </c:pt>
                <c:pt idx="7">
                  <c:v>3.3101851851851803E-3</c:v>
                </c:pt>
                <c:pt idx="8">
                  <c:v>4.5023148148148106E-3</c:v>
                </c:pt>
                <c:pt idx="9">
                  <c:v>0</c:v>
                </c:pt>
                <c:pt idx="10">
                  <c:v>4.3055555555555555E-3</c:v>
                </c:pt>
                <c:pt idx="11">
                  <c:v>3.6342592592592594E-3</c:v>
                </c:pt>
              </c:numCache>
            </c:numRef>
          </c:xVal>
          <c:yVal>
            <c:numRef>
              <c:f>'4-BOXSCORE_1Q'!$Y$2:$Y$13</c:f>
              <c:numCache>
                <c:formatCode>General</c:formatCode>
                <c:ptCount val="12"/>
                <c:pt idx="0">
                  <c:v>-1</c:v>
                </c:pt>
                <c:pt idx="1">
                  <c:v>5</c:v>
                </c:pt>
                <c:pt idx="2">
                  <c:v>7</c:v>
                </c:pt>
                <c:pt idx="3">
                  <c:v>-1</c:v>
                </c:pt>
                <c:pt idx="4">
                  <c:v>-4</c:v>
                </c:pt>
                <c:pt idx="5">
                  <c:v>0</c:v>
                </c:pt>
                <c:pt idx="6">
                  <c:v>3</c:v>
                </c:pt>
                <c:pt idx="7">
                  <c:v>5</c:v>
                </c:pt>
                <c:pt idx="8">
                  <c:v>2</c:v>
                </c:pt>
                <c:pt idx="9">
                  <c:v>0</c:v>
                </c:pt>
                <c:pt idx="10">
                  <c:v>1</c:v>
                </c:pt>
                <c:pt idx="11">
                  <c:v>5</c:v>
                </c:pt>
              </c:numCache>
            </c:numRef>
          </c:yVal>
          <c:smooth val="0"/>
          <c:extLst>
            <c:ext xmlns:c15="http://schemas.microsoft.com/office/drawing/2012/chart" uri="{02D57815-91ED-43cb-92C2-25804820EDAC}">
              <c15:datalabelsRange>
                <c15:f>'4-BOXSCORE_1Q'!$A$2:$A$13</c15:f>
                <c15:dlblRangeCache>
                  <c:ptCount val="12"/>
                  <c:pt idx="0">
                    <c:v>JM00</c:v>
                  </c:pt>
                  <c:pt idx="1">
                    <c:v>JM02</c:v>
                  </c:pt>
                  <c:pt idx="2">
                    <c:v>JM08</c:v>
                  </c:pt>
                  <c:pt idx="3">
                    <c:v>JM11</c:v>
                  </c:pt>
                  <c:pt idx="4">
                    <c:v>JM12</c:v>
                  </c:pt>
                  <c:pt idx="5">
                    <c:v>JM18</c:v>
                  </c:pt>
                  <c:pt idx="6">
                    <c:v>JM19</c:v>
                  </c:pt>
                  <c:pt idx="7">
                    <c:v>JM32</c:v>
                  </c:pt>
                  <c:pt idx="8">
                    <c:v>JM33</c:v>
                  </c:pt>
                  <c:pt idx="9">
                    <c:v>JM47</c:v>
                  </c:pt>
                  <c:pt idx="10">
                    <c:v>JM55</c:v>
                  </c:pt>
                  <c:pt idx="11">
                    <c:v>JM99</c:v>
                  </c:pt>
                </c15:dlblRangeCache>
              </c15:datalabelsRange>
            </c:ext>
            <c:ext xmlns:c16="http://schemas.microsoft.com/office/drawing/2014/chart" uri="{C3380CC4-5D6E-409C-BE32-E72D297353CC}">
              <c16:uniqueId val="{00000000-F71E-4A9D-8102-9BE441E22229}"/>
            </c:ext>
          </c:extLst>
        </c:ser>
        <c:dLbls>
          <c:dLblPos val="t"/>
          <c:showLegendKey val="0"/>
          <c:showVal val="1"/>
          <c:showCatName val="0"/>
          <c:showSerName val="0"/>
          <c:showPercent val="0"/>
          <c:showBubbleSize val="0"/>
        </c:dLbls>
        <c:axId val="1474859232"/>
        <c:axId val="1474861152"/>
      </c:scatterChart>
      <c:valAx>
        <c:axId val="1474859232"/>
        <c:scaling>
          <c:orientation val="minMax"/>
        </c:scaling>
        <c:delete val="0"/>
        <c:axPos val="b"/>
        <c:majorGridlines>
          <c:spPr>
            <a:ln w="9525" cap="flat" cmpd="sng" algn="ctr">
              <a:solidFill>
                <a:schemeClr val="tx1">
                  <a:lumMod val="15000"/>
                  <a:lumOff val="85000"/>
                </a:schemeClr>
              </a:solidFill>
              <a:round/>
            </a:ln>
            <a:effectLst/>
          </c:spPr>
        </c:majorGridlines>
        <c:numFmt formatCode="[$-F400]h:mm:ss\ AM/P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74861152"/>
        <c:crosses val="autoZero"/>
        <c:crossBetween val="midCat"/>
      </c:valAx>
      <c:valAx>
        <c:axId val="147486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748592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LLEIDA</a:t>
            </a:r>
            <a:r>
              <a:rPr lang="en-US" sz="2000" b="1" baseline="0"/>
              <a:t> </a:t>
            </a:r>
            <a:r>
              <a:rPr lang="en-US" sz="2000" b="1"/>
              <a:t>- Valoración</a:t>
            </a:r>
            <a:r>
              <a:rPr lang="en-US" sz="2000" b="1" baseline="0"/>
              <a:t> vs </a:t>
            </a:r>
            <a:r>
              <a:rPr lang="en-US" sz="2000" b="1"/>
              <a:t>Tiempo_Jugado</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LLEIDA</c:v>
          </c:tx>
          <c:spPr>
            <a:ln w="25400" cap="rnd">
              <a:noFill/>
              <a:round/>
            </a:ln>
            <a:effectLst/>
          </c:spPr>
          <c:marker>
            <c:symbol val="circle"/>
            <c:size val="5"/>
            <c:spPr>
              <a:solidFill>
                <a:srgbClr val="00B050"/>
              </a:solidFill>
              <a:ln w="9525">
                <a:noFill/>
              </a:ln>
              <a:effectLst/>
            </c:spPr>
          </c:marker>
          <c:dLbls>
            <c:dLbl>
              <c:idx val="0"/>
              <c:tx>
                <c:rich>
                  <a:bodyPr/>
                  <a:lstStyle/>
                  <a:p>
                    <a:fld id="{03E676DB-8D76-4826-A4A6-596F19E1D650}"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2D0D-470C-9F06-0F7A5D9D71C6}"/>
                </c:ext>
              </c:extLst>
            </c:dLbl>
            <c:dLbl>
              <c:idx val="1"/>
              <c:tx>
                <c:rich>
                  <a:bodyPr/>
                  <a:lstStyle/>
                  <a:p>
                    <a:fld id="{7BE35092-C3D3-4C6C-8425-14D21D7C7CE8}"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D0D-470C-9F06-0F7A5D9D71C6}"/>
                </c:ext>
              </c:extLst>
            </c:dLbl>
            <c:dLbl>
              <c:idx val="2"/>
              <c:tx>
                <c:rich>
                  <a:bodyPr/>
                  <a:lstStyle/>
                  <a:p>
                    <a:fld id="{3F5E9F6C-E940-4268-B68A-F248024CE226}"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2D0D-470C-9F06-0F7A5D9D71C6}"/>
                </c:ext>
              </c:extLst>
            </c:dLbl>
            <c:dLbl>
              <c:idx val="3"/>
              <c:tx>
                <c:rich>
                  <a:bodyPr/>
                  <a:lstStyle/>
                  <a:p>
                    <a:fld id="{B35AEFA1-5683-468F-AA62-9AFB86747124}"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D0D-470C-9F06-0F7A5D9D71C6}"/>
                </c:ext>
              </c:extLst>
            </c:dLbl>
            <c:dLbl>
              <c:idx val="4"/>
              <c:tx>
                <c:rich>
                  <a:bodyPr/>
                  <a:lstStyle/>
                  <a:p>
                    <a:fld id="{32F1ED96-EAEE-49A8-AF47-8FC51E56FC24}"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2D0D-470C-9F06-0F7A5D9D71C6}"/>
                </c:ext>
              </c:extLst>
            </c:dLbl>
            <c:dLbl>
              <c:idx val="5"/>
              <c:tx>
                <c:rich>
                  <a:bodyPr/>
                  <a:lstStyle/>
                  <a:p>
                    <a:fld id="{A56A769B-A5A4-4744-B4B1-EE8CE306572E}"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2D0D-470C-9F06-0F7A5D9D71C6}"/>
                </c:ext>
              </c:extLst>
            </c:dLbl>
            <c:dLbl>
              <c:idx val="6"/>
              <c:tx>
                <c:rich>
                  <a:bodyPr/>
                  <a:lstStyle/>
                  <a:p>
                    <a:fld id="{76CCB4C3-09E2-44C6-A879-06E7C953C94F}"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2D0D-470C-9F06-0F7A5D9D71C6}"/>
                </c:ext>
              </c:extLst>
            </c:dLbl>
            <c:dLbl>
              <c:idx val="7"/>
              <c:tx>
                <c:rich>
                  <a:bodyPr/>
                  <a:lstStyle/>
                  <a:p>
                    <a:fld id="{A6C23B0E-2FDE-4084-8B12-32303B370DB3}"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2D0D-470C-9F06-0F7A5D9D71C6}"/>
                </c:ext>
              </c:extLst>
            </c:dLbl>
            <c:dLbl>
              <c:idx val="8"/>
              <c:tx>
                <c:rich>
                  <a:bodyPr/>
                  <a:lstStyle/>
                  <a:p>
                    <a:fld id="{084CCA5C-3718-48FA-9493-2B1DDF873067}"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2D0D-470C-9F06-0F7A5D9D71C6}"/>
                </c:ext>
              </c:extLst>
            </c:dLbl>
            <c:dLbl>
              <c:idx val="9"/>
              <c:tx>
                <c:rich>
                  <a:bodyPr/>
                  <a:lstStyle/>
                  <a:p>
                    <a:fld id="{298E14FC-D2AA-478B-AF01-E4646C10ABD3}"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2D0D-470C-9F06-0F7A5D9D71C6}"/>
                </c:ext>
              </c:extLst>
            </c:dLbl>
            <c:dLbl>
              <c:idx val="10"/>
              <c:tx>
                <c:rich>
                  <a:bodyPr/>
                  <a:lstStyle/>
                  <a:p>
                    <a:fld id="{24643C39-04D3-4B0B-A56C-EF2D0DF21D0F}"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2D0D-470C-9F06-0F7A5D9D71C6}"/>
                </c:ext>
              </c:extLst>
            </c:dLbl>
            <c:dLbl>
              <c:idx val="11"/>
              <c:tx>
                <c:rich>
                  <a:bodyPr/>
                  <a:lstStyle/>
                  <a:p>
                    <a:fld id="{2389BB3C-0867-470B-9270-EAC5ECF1B283}"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2D0D-470C-9F06-0F7A5D9D71C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'4-BOXSCORE_1Q'!$C$18:$C$29</c:f>
              <c:numCache>
                <c:formatCode>[$-F400]h:mm:ss\ AM/PM</c:formatCode>
                <c:ptCount val="12"/>
                <c:pt idx="0">
                  <c:v>3.3101851851851847E-3</c:v>
                </c:pt>
                <c:pt idx="1">
                  <c:v>3.6342592592592594E-3</c:v>
                </c:pt>
                <c:pt idx="2">
                  <c:v>2.9513888888888845E-3</c:v>
                </c:pt>
                <c:pt idx="3">
                  <c:v>2.9513888888888888E-3</c:v>
                </c:pt>
                <c:pt idx="4">
                  <c:v>1.6087962962962963E-3</c:v>
                </c:pt>
                <c:pt idx="5">
                  <c:v>2.3842592592592587E-3</c:v>
                </c:pt>
                <c:pt idx="6">
                  <c:v>3.1481481481481482E-3</c:v>
                </c:pt>
                <c:pt idx="7">
                  <c:v>2.2453703703703698E-3</c:v>
                </c:pt>
                <c:pt idx="8">
                  <c:v>2.9513888888888888E-3</c:v>
                </c:pt>
                <c:pt idx="9">
                  <c:v>3.9930555555555552E-3</c:v>
                </c:pt>
                <c:pt idx="10">
                  <c:v>3.9930555555555552E-3</c:v>
                </c:pt>
                <c:pt idx="11">
                  <c:v>1.5509259259259259E-3</c:v>
                </c:pt>
              </c:numCache>
            </c:numRef>
          </c:xVal>
          <c:yVal>
            <c:numRef>
              <c:f>'4-BOXSCORE_1Q'!$Y$18:$Y$29</c:f>
              <c:numCache>
                <c:formatCode>General</c:formatCode>
                <c:ptCount val="12"/>
                <c:pt idx="0">
                  <c:v>-1</c:v>
                </c:pt>
                <c:pt idx="1">
                  <c:v>7</c:v>
                </c:pt>
                <c:pt idx="2">
                  <c:v>-1</c:v>
                </c:pt>
                <c:pt idx="3">
                  <c:v>8</c:v>
                </c:pt>
                <c:pt idx="4">
                  <c:v>-1</c:v>
                </c:pt>
                <c:pt idx="5">
                  <c:v>-1</c:v>
                </c:pt>
                <c:pt idx="6">
                  <c:v>7</c:v>
                </c:pt>
                <c:pt idx="7">
                  <c:v>2</c:v>
                </c:pt>
                <c:pt idx="8">
                  <c:v>0</c:v>
                </c:pt>
                <c:pt idx="9">
                  <c:v>5</c:v>
                </c:pt>
                <c:pt idx="10">
                  <c:v>1</c:v>
                </c:pt>
                <c:pt idx="11">
                  <c:v>4</c:v>
                </c:pt>
              </c:numCache>
            </c:numRef>
          </c:yVal>
          <c:smooth val="0"/>
          <c:extLst>
            <c:ext xmlns:c15="http://schemas.microsoft.com/office/drawing/2012/chart" uri="{02D57815-91ED-43cb-92C2-25804820EDAC}">
              <c15:datalabelsRange>
                <c15:f>'4-BOXSCORE_1Q'!$A$18:$A$29</c15:f>
                <c15:dlblRangeCache>
                  <c:ptCount val="12"/>
                  <c:pt idx="0">
                    <c:v>JL01</c:v>
                  </c:pt>
                  <c:pt idx="1">
                    <c:v>JL02</c:v>
                  </c:pt>
                  <c:pt idx="2">
                    <c:v>JL03</c:v>
                  </c:pt>
                  <c:pt idx="3">
                    <c:v>JL04</c:v>
                  </c:pt>
                  <c:pt idx="4">
                    <c:v>JL05</c:v>
                  </c:pt>
                  <c:pt idx="5">
                    <c:v>JL06</c:v>
                  </c:pt>
                  <c:pt idx="6">
                    <c:v>JL07</c:v>
                  </c:pt>
                  <c:pt idx="7">
                    <c:v>JL12</c:v>
                  </c:pt>
                  <c:pt idx="8">
                    <c:v>JL14</c:v>
                  </c:pt>
                  <c:pt idx="9">
                    <c:v>JL16</c:v>
                  </c:pt>
                  <c:pt idx="10">
                    <c:v>JL22</c:v>
                  </c:pt>
                  <c:pt idx="11">
                    <c:v>JL25</c:v>
                  </c:pt>
                </c15:dlblRangeCache>
              </c15:datalabelsRange>
            </c:ext>
            <c:ext xmlns:c16="http://schemas.microsoft.com/office/drawing/2014/chart" uri="{C3380CC4-5D6E-409C-BE32-E72D297353CC}">
              <c16:uniqueId val="{0000000C-2D0D-470C-9F06-0F7A5D9D71C6}"/>
            </c:ext>
          </c:extLst>
        </c:ser>
        <c:dLbls>
          <c:dLblPos val="t"/>
          <c:showLegendKey val="0"/>
          <c:showVal val="1"/>
          <c:showCatName val="0"/>
          <c:showSerName val="0"/>
          <c:showPercent val="0"/>
          <c:showBubbleSize val="0"/>
        </c:dLbls>
        <c:axId val="1474859232"/>
        <c:axId val="1474861152"/>
      </c:scatterChart>
      <c:valAx>
        <c:axId val="1474859232"/>
        <c:scaling>
          <c:orientation val="minMax"/>
        </c:scaling>
        <c:delete val="0"/>
        <c:axPos val="b"/>
        <c:majorGridlines>
          <c:spPr>
            <a:ln w="9525" cap="flat" cmpd="sng" algn="ctr">
              <a:solidFill>
                <a:schemeClr val="tx1">
                  <a:lumMod val="15000"/>
                  <a:lumOff val="85000"/>
                </a:schemeClr>
              </a:solidFill>
              <a:round/>
            </a:ln>
            <a:effectLst/>
          </c:spPr>
        </c:majorGridlines>
        <c:numFmt formatCode="[$-F400]h:mm:ss\ AM/P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74861152"/>
        <c:crosses val="autoZero"/>
        <c:crossBetween val="midCat"/>
      </c:valAx>
      <c:valAx>
        <c:axId val="147486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748592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MANRESA</a:t>
            </a:r>
            <a:r>
              <a:rPr lang="en-US" sz="2000" b="1" baseline="0"/>
              <a:t> </a:t>
            </a:r>
            <a:r>
              <a:rPr lang="en-US" sz="2000" b="1"/>
              <a:t>- ESTADÍSTICA</a:t>
            </a:r>
            <a:r>
              <a:rPr lang="en-US" sz="2000" b="1" baseline="0"/>
              <a:t> OFENSIVA:</a:t>
            </a:r>
          </a:p>
          <a:p>
            <a:pPr>
              <a:defRPr/>
            </a:pPr>
            <a:r>
              <a:rPr lang="en-US" sz="2000" b="1" baseline="0"/>
              <a:t>USG% VS OER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MANRESA</c:v>
          </c:tx>
          <c:spPr>
            <a:ln w="25400" cap="rnd">
              <a:noFill/>
              <a:round/>
            </a:ln>
            <a:effectLst/>
          </c:spPr>
          <c:marker>
            <c:symbol val="circle"/>
            <c:size val="5"/>
            <c:spPr>
              <a:solidFill>
                <a:srgbClr val="FF0000"/>
              </a:solidFill>
              <a:ln w="9525">
                <a:noFill/>
              </a:ln>
              <a:effectLst/>
            </c:spPr>
          </c:marker>
          <c:dLbls>
            <c:dLbl>
              <c:idx val="0"/>
              <c:tx>
                <c:rich>
                  <a:bodyPr/>
                  <a:lstStyle/>
                  <a:p>
                    <a:fld id="{BCFFB310-5C3A-438C-A30A-4338BD6A7F59}"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7118-48C8-9496-A96CFC59E72E}"/>
                </c:ext>
              </c:extLst>
            </c:dLbl>
            <c:dLbl>
              <c:idx val="1"/>
              <c:tx>
                <c:rich>
                  <a:bodyPr/>
                  <a:lstStyle/>
                  <a:p>
                    <a:fld id="{9F9F2DBD-0FB4-4FB9-8BA2-43CDE7BA7799}"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118-48C8-9496-A96CFC59E72E}"/>
                </c:ext>
              </c:extLst>
            </c:dLbl>
            <c:dLbl>
              <c:idx val="2"/>
              <c:tx>
                <c:rich>
                  <a:bodyPr/>
                  <a:lstStyle/>
                  <a:p>
                    <a:fld id="{B3A0111A-43C0-48F1-9DEE-9BD6AD4C7D9F}"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7118-48C8-9496-A96CFC59E72E}"/>
                </c:ext>
              </c:extLst>
            </c:dLbl>
            <c:dLbl>
              <c:idx val="3"/>
              <c:tx>
                <c:rich>
                  <a:bodyPr/>
                  <a:lstStyle/>
                  <a:p>
                    <a:fld id="{A1D38F12-6E0F-4CFF-B613-E686A0AF2739}"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7118-48C8-9496-A96CFC59E72E}"/>
                </c:ext>
              </c:extLst>
            </c:dLbl>
            <c:dLbl>
              <c:idx val="4"/>
              <c:tx>
                <c:rich>
                  <a:bodyPr/>
                  <a:lstStyle/>
                  <a:p>
                    <a:fld id="{FCFD7652-840B-48A3-AF8F-8367979386E4}"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7118-48C8-9496-A96CFC59E72E}"/>
                </c:ext>
              </c:extLst>
            </c:dLbl>
            <c:dLbl>
              <c:idx val="5"/>
              <c:tx>
                <c:rich>
                  <a:bodyPr/>
                  <a:lstStyle/>
                  <a:p>
                    <a:fld id="{2535A51C-D454-4001-950C-3C3A7FF842C3}"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7118-48C8-9496-A96CFC59E72E}"/>
                </c:ext>
              </c:extLst>
            </c:dLbl>
            <c:dLbl>
              <c:idx val="6"/>
              <c:tx>
                <c:rich>
                  <a:bodyPr/>
                  <a:lstStyle/>
                  <a:p>
                    <a:fld id="{A013C7B0-97C4-4594-9F31-B930A11F41E1}"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7118-48C8-9496-A96CFC59E72E}"/>
                </c:ext>
              </c:extLst>
            </c:dLbl>
            <c:dLbl>
              <c:idx val="7"/>
              <c:tx>
                <c:rich>
                  <a:bodyPr/>
                  <a:lstStyle/>
                  <a:p>
                    <a:fld id="{371ED874-90F1-474C-A79A-2C938DBA7318}"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7118-48C8-9496-A96CFC59E72E}"/>
                </c:ext>
              </c:extLst>
            </c:dLbl>
            <c:dLbl>
              <c:idx val="8"/>
              <c:tx>
                <c:rich>
                  <a:bodyPr/>
                  <a:lstStyle/>
                  <a:p>
                    <a:fld id="{3AE124CF-9DD7-4F2B-9F5A-AFEDBB77D6D6}"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7118-48C8-9496-A96CFC59E72E}"/>
                </c:ext>
              </c:extLst>
            </c:dLbl>
            <c:dLbl>
              <c:idx val="9"/>
              <c:tx>
                <c:rich>
                  <a:bodyPr/>
                  <a:lstStyle/>
                  <a:p>
                    <a:fld id="{63CD23B5-BC83-42D7-9813-F24D9DF40D72}"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7118-48C8-9496-A96CFC59E72E}"/>
                </c:ext>
              </c:extLst>
            </c:dLbl>
            <c:dLbl>
              <c:idx val="10"/>
              <c:tx>
                <c:rich>
                  <a:bodyPr/>
                  <a:lstStyle/>
                  <a:p>
                    <a:fld id="{4447F11E-2DFE-41A5-A3B7-A76BBC4489CA}"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7118-48C8-9496-A96CFC59E72E}"/>
                </c:ext>
              </c:extLst>
            </c:dLbl>
            <c:dLbl>
              <c:idx val="11"/>
              <c:tx>
                <c:rich>
                  <a:bodyPr/>
                  <a:lstStyle/>
                  <a:p>
                    <a:fld id="{F46B3783-67B0-426D-B279-BA69AAC4BDA9}"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7118-48C8-9496-A96CFC59E7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'8-Metricas_Avanzadas'!$AF$2:$AF$13</c:f>
              <c:numCache>
                <c:formatCode>0%</c:formatCode>
                <c:ptCount val="12"/>
                <c:pt idx="0">
                  <c:v>0</c:v>
                </c:pt>
                <c:pt idx="1">
                  <c:v>0.13352272727272729</c:v>
                </c:pt>
                <c:pt idx="2">
                  <c:v>0.14204545454545456</c:v>
                </c:pt>
                <c:pt idx="3">
                  <c:v>0.21306818181818185</c:v>
                </c:pt>
                <c:pt idx="4">
                  <c:v>7.1022727272727279E-2</c:v>
                </c:pt>
                <c:pt idx="5">
                  <c:v>0</c:v>
                </c:pt>
                <c:pt idx="6">
                  <c:v>6.25E-2</c:v>
                </c:pt>
                <c:pt idx="7">
                  <c:v>0.14204545454545456</c:v>
                </c:pt>
                <c:pt idx="8">
                  <c:v>0.14204545454545456</c:v>
                </c:pt>
                <c:pt idx="9">
                  <c:v>0</c:v>
                </c:pt>
                <c:pt idx="10">
                  <c:v>0.14204545454545456</c:v>
                </c:pt>
                <c:pt idx="11">
                  <c:v>9.3750000000000028E-2</c:v>
                </c:pt>
              </c:numCache>
            </c:numRef>
          </c:xVal>
          <c:yVal>
            <c:numRef>
              <c:f>'8-Metricas_Avanzadas'!$AD$2:$AD$13</c:f>
              <c:numCache>
                <c:formatCode>0.00</c:formatCode>
                <c:ptCount val="12"/>
                <c:pt idx="0">
                  <c:v>0</c:v>
                </c:pt>
                <c:pt idx="1">
                  <c:v>2.6595744680851063</c:v>
                </c:pt>
                <c:pt idx="2">
                  <c:v>2.5</c:v>
                </c:pt>
                <c:pt idx="3">
                  <c:v>0.66666666666666663</c:v>
                </c:pt>
                <c:pt idx="4">
                  <c:v>0</c:v>
                </c:pt>
                <c:pt idx="5">
                  <c:v>0</c:v>
                </c:pt>
                <c:pt idx="6">
                  <c:v>1.1363636363636365</c:v>
                </c:pt>
                <c:pt idx="7">
                  <c:v>2</c:v>
                </c:pt>
                <c:pt idx="8">
                  <c:v>1</c:v>
                </c:pt>
                <c:pt idx="9">
                  <c:v>0</c:v>
                </c:pt>
                <c:pt idx="10">
                  <c:v>1.5</c:v>
                </c:pt>
                <c:pt idx="11">
                  <c:v>3.7878787878787872</c:v>
                </c:pt>
              </c:numCache>
            </c:numRef>
          </c:yVal>
          <c:smooth val="0"/>
          <c:extLst>
            <c:ext xmlns:c15="http://schemas.microsoft.com/office/drawing/2012/chart" uri="{02D57815-91ED-43cb-92C2-25804820EDAC}">
              <c15:datalabelsRange>
                <c15:f>'4-BOXSCORE_1Q'!$A$2:$A$13</c15:f>
                <c15:dlblRangeCache>
                  <c:ptCount val="12"/>
                  <c:pt idx="0">
                    <c:v>JM00</c:v>
                  </c:pt>
                  <c:pt idx="1">
                    <c:v>JM02</c:v>
                  </c:pt>
                  <c:pt idx="2">
                    <c:v>JM08</c:v>
                  </c:pt>
                  <c:pt idx="3">
                    <c:v>JM11</c:v>
                  </c:pt>
                  <c:pt idx="4">
                    <c:v>JM12</c:v>
                  </c:pt>
                  <c:pt idx="5">
                    <c:v>JM18</c:v>
                  </c:pt>
                  <c:pt idx="6">
                    <c:v>JM19</c:v>
                  </c:pt>
                  <c:pt idx="7">
                    <c:v>JM32</c:v>
                  </c:pt>
                  <c:pt idx="8">
                    <c:v>JM33</c:v>
                  </c:pt>
                  <c:pt idx="9">
                    <c:v>JM47</c:v>
                  </c:pt>
                  <c:pt idx="10">
                    <c:v>JM55</c:v>
                  </c:pt>
                  <c:pt idx="11">
                    <c:v>JM99</c:v>
                  </c:pt>
                </c15:dlblRangeCache>
              </c15:datalabelsRange>
            </c:ext>
            <c:ext xmlns:c16="http://schemas.microsoft.com/office/drawing/2014/chart" uri="{C3380CC4-5D6E-409C-BE32-E72D297353CC}">
              <c16:uniqueId val="{0000000C-7118-48C8-9496-A96CFC59E72E}"/>
            </c:ext>
          </c:extLst>
        </c:ser>
        <c:dLbls>
          <c:dLblPos val="t"/>
          <c:showLegendKey val="0"/>
          <c:showVal val="1"/>
          <c:showCatName val="0"/>
          <c:showSerName val="0"/>
          <c:showPercent val="0"/>
          <c:showBubbleSize val="0"/>
        </c:dLbls>
        <c:axId val="1474859232"/>
        <c:axId val="1474861152"/>
      </c:scatterChart>
      <c:valAx>
        <c:axId val="14748592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600" b="1"/>
                  <a:t>USG%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74861152"/>
        <c:crosses val="autoZero"/>
        <c:crossBetween val="midCat"/>
      </c:valAx>
      <c:valAx>
        <c:axId val="1474861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600" b="1"/>
                  <a:t>OER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748592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LLEIDA</a:t>
            </a:r>
            <a:r>
              <a:rPr lang="en-US" sz="2000" b="1" baseline="0"/>
              <a:t> </a:t>
            </a:r>
            <a:r>
              <a:rPr lang="en-US" sz="2000" b="1"/>
              <a:t>- ESTADÍSTICA</a:t>
            </a:r>
            <a:r>
              <a:rPr lang="en-US" sz="2000" b="1" baseline="0"/>
              <a:t> OFENSIVA:</a:t>
            </a:r>
          </a:p>
          <a:p>
            <a:pPr>
              <a:defRPr/>
            </a:pPr>
            <a:r>
              <a:rPr lang="en-US" sz="2000" b="1" baseline="0"/>
              <a:t>USG% VS OER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LLEIDA</c:v>
          </c:tx>
          <c:spPr>
            <a:ln w="25400" cap="rnd">
              <a:noFill/>
              <a:round/>
            </a:ln>
            <a:effectLst/>
          </c:spPr>
          <c:marker>
            <c:symbol val="circle"/>
            <c:size val="5"/>
            <c:spPr>
              <a:solidFill>
                <a:srgbClr val="00B050"/>
              </a:solidFill>
              <a:ln w="9525">
                <a:noFill/>
              </a:ln>
              <a:effectLst/>
            </c:spPr>
          </c:marker>
          <c:dLbls>
            <c:dLbl>
              <c:idx val="0"/>
              <c:tx>
                <c:rich>
                  <a:bodyPr/>
                  <a:lstStyle/>
                  <a:p>
                    <a:fld id="{778AEECB-E9EB-4D82-AECD-38373083C47C}"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1C3-4508-9654-B4BE2DFD9004}"/>
                </c:ext>
              </c:extLst>
            </c:dLbl>
            <c:dLbl>
              <c:idx val="1"/>
              <c:tx>
                <c:rich>
                  <a:bodyPr/>
                  <a:lstStyle/>
                  <a:p>
                    <a:fld id="{EF05C202-2BA6-46A9-9781-FFDE15552F08}"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81C3-4508-9654-B4BE2DFD9004}"/>
                </c:ext>
              </c:extLst>
            </c:dLbl>
            <c:dLbl>
              <c:idx val="2"/>
              <c:tx>
                <c:rich>
                  <a:bodyPr/>
                  <a:lstStyle/>
                  <a:p>
                    <a:fld id="{A196A0A3-2F28-4786-8CD7-197BC43B9851}"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81C3-4508-9654-B4BE2DFD9004}"/>
                </c:ext>
              </c:extLst>
            </c:dLbl>
            <c:dLbl>
              <c:idx val="3"/>
              <c:tx>
                <c:rich>
                  <a:bodyPr/>
                  <a:lstStyle/>
                  <a:p>
                    <a:fld id="{4460C470-F8B6-4457-A66F-603764575BB6}"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81C3-4508-9654-B4BE2DFD9004}"/>
                </c:ext>
              </c:extLst>
            </c:dLbl>
            <c:dLbl>
              <c:idx val="4"/>
              <c:tx>
                <c:rich>
                  <a:bodyPr/>
                  <a:lstStyle/>
                  <a:p>
                    <a:fld id="{9461D208-7055-4A6C-B5AF-BC84CD7ACFC7}"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81C3-4508-9654-B4BE2DFD9004}"/>
                </c:ext>
              </c:extLst>
            </c:dLbl>
            <c:dLbl>
              <c:idx val="5"/>
              <c:tx>
                <c:rich>
                  <a:bodyPr/>
                  <a:lstStyle/>
                  <a:p>
                    <a:fld id="{4675F7C8-1AF6-45B5-B555-E73A4DA0885C}"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81C3-4508-9654-B4BE2DFD9004}"/>
                </c:ext>
              </c:extLst>
            </c:dLbl>
            <c:dLbl>
              <c:idx val="6"/>
              <c:tx>
                <c:rich>
                  <a:bodyPr/>
                  <a:lstStyle/>
                  <a:p>
                    <a:fld id="{3B6A020B-296E-4623-B21A-831DB79A21FD}"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81C3-4508-9654-B4BE2DFD9004}"/>
                </c:ext>
              </c:extLst>
            </c:dLbl>
            <c:dLbl>
              <c:idx val="7"/>
              <c:tx>
                <c:rich>
                  <a:bodyPr/>
                  <a:lstStyle/>
                  <a:p>
                    <a:fld id="{EE2A12F8-5D20-4732-AC65-B00D8DB775FA}"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81C3-4508-9654-B4BE2DFD9004}"/>
                </c:ext>
              </c:extLst>
            </c:dLbl>
            <c:dLbl>
              <c:idx val="8"/>
              <c:layout>
                <c:manualLayout>
                  <c:x val="-2.9733869431909019E-2"/>
                  <c:y val="-4.8235809206335786E-2"/>
                </c:manualLayout>
              </c:layout>
              <c:tx>
                <c:rich>
                  <a:bodyPr/>
                  <a:lstStyle/>
                  <a:p>
                    <a:fld id="{C4B98E16-C12E-430A-B4FE-5105889B63C1}" type="CELLRANGE">
                      <a:rPr lang="en-US"/>
                      <a:pPr/>
                      <a:t>[CELLRANGE]</a:t>
                    </a:fld>
                    <a:endParaRPr lang="es-E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81C3-4508-9654-B4BE2DFD9004}"/>
                </c:ext>
              </c:extLst>
            </c:dLbl>
            <c:dLbl>
              <c:idx val="9"/>
              <c:tx>
                <c:rich>
                  <a:bodyPr/>
                  <a:lstStyle/>
                  <a:p>
                    <a:fld id="{15EFEAD5-C995-4540-8441-B41F06F72B7F}" type="CELLRANGE">
                      <a:rPr lang="en-US"/>
                      <a:pPr/>
                      <a:t>[CELLRANGE]</a:t>
                    </a:fld>
                    <a:endParaRPr lang="es-E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81C3-4508-9654-B4BE2DFD9004}"/>
                </c:ext>
              </c:extLst>
            </c:dLbl>
            <c:dLbl>
              <c:idx val="10"/>
              <c:layout>
                <c:manualLayout>
                  <c:x val="-1.1589609997001198E-2"/>
                  <c:y val="-4.328664819629386E-2"/>
                </c:manualLayout>
              </c:layout>
              <c:tx>
                <c:rich>
                  <a:bodyPr/>
                  <a:lstStyle/>
                  <a:p>
                    <a:fld id="{0600E5D9-9515-49B4-90C1-6DFA694FE54D}" type="CELLRANGE">
                      <a:rPr lang="en-US"/>
                      <a:pPr/>
                      <a:t>[CELLRANGE]</a:t>
                    </a:fld>
                    <a:endParaRPr lang="es-E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81C3-4508-9654-B4BE2DFD9004}"/>
                </c:ext>
              </c:extLst>
            </c:dLbl>
            <c:dLbl>
              <c:idx val="11"/>
              <c:layout>
                <c:manualLayout>
                  <c:x val="-2.9765027319278364E-2"/>
                  <c:y val="-6.0933468891226542E-2"/>
                </c:manualLayout>
              </c:layout>
              <c:tx>
                <c:rich>
                  <a:bodyPr/>
                  <a:lstStyle/>
                  <a:p>
                    <a:fld id="{981C3842-661E-499A-8EF4-90FE66CD311C}" type="CELLRANGE">
                      <a:rPr lang="en-US"/>
                      <a:pPr/>
                      <a:t>[CELLRANGE]</a:t>
                    </a:fld>
                    <a:endParaRPr lang="es-E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81C3-4508-9654-B4BE2DFD90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'8-Metricas_Avanzadas'!$AF$18:$AF$29</c:f>
              <c:numCache>
                <c:formatCode>0%</c:formatCode>
                <c:ptCount val="12"/>
                <c:pt idx="0">
                  <c:v>0.16143497757847533</c:v>
                </c:pt>
                <c:pt idx="1">
                  <c:v>0.16143497757847533</c:v>
                </c:pt>
                <c:pt idx="2">
                  <c:v>0</c:v>
                </c:pt>
                <c:pt idx="3">
                  <c:v>0.10538116591928251</c:v>
                </c:pt>
                <c:pt idx="4">
                  <c:v>5.6053811659192827E-2</c:v>
                </c:pt>
                <c:pt idx="5">
                  <c:v>0.13004484304932737</c:v>
                </c:pt>
                <c:pt idx="6">
                  <c:v>0.16143497757847533</c:v>
                </c:pt>
                <c:pt idx="7">
                  <c:v>0.11210762331838565</c:v>
                </c:pt>
                <c:pt idx="8">
                  <c:v>5.6053811659192827E-2</c:v>
                </c:pt>
                <c:pt idx="9">
                  <c:v>5.6053811659192827E-2</c:v>
                </c:pt>
                <c:pt idx="10">
                  <c:v>0</c:v>
                </c:pt>
                <c:pt idx="11">
                  <c:v>5.6053811659192827E-2</c:v>
                </c:pt>
              </c:numCache>
            </c:numRef>
          </c:xVal>
          <c:yVal>
            <c:numRef>
              <c:f>'8-Metricas_Avanzadas'!$AD$18:$AD$29</c:f>
              <c:numCache>
                <c:formatCode>0.00</c:formatCode>
                <c:ptCount val="12"/>
                <c:pt idx="0">
                  <c:v>0.34722222222222221</c:v>
                </c:pt>
                <c:pt idx="1">
                  <c:v>2.0833333333333335</c:v>
                </c:pt>
                <c:pt idx="2">
                  <c:v>0</c:v>
                </c:pt>
                <c:pt idx="3">
                  <c:v>2.1276595744680851</c:v>
                </c:pt>
                <c:pt idx="4">
                  <c:v>0</c:v>
                </c:pt>
                <c:pt idx="5">
                  <c:v>0.86206896551724133</c:v>
                </c:pt>
                <c:pt idx="6">
                  <c:v>2.0833333333333335</c:v>
                </c:pt>
                <c:pt idx="7">
                  <c:v>2</c:v>
                </c:pt>
                <c:pt idx="8">
                  <c:v>0</c:v>
                </c:pt>
                <c:pt idx="9">
                  <c:v>2</c:v>
                </c:pt>
                <c:pt idx="10">
                  <c:v>0</c:v>
                </c:pt>
                <c:pt idx="11">
                  <c:v>2</c:v>
                </c:pt>
              </c:numCache>
            </c:numRef>
          </c:yVal>
          <c:smooth val="0"/>
          <c:extLst>
            <c:ext xmlns:c15="http://schemas.microsoft.com/office/drawing/2012/chart" uri="{02D57815-91ED-43cb-92C2-25804820EDAC}">
              <c15:datalabelsRange>
                <c15:f>'4-BOXSCORE_1Q'!$A$18:$A$29</c15:f>
                <c15:dlblRangeCache>
                  <c:ptCount val="12"/>
                  <c:pt idx="0">
                    <c:v>JL01</c:v>
                  </c:pt>
                  <c:pt idx="1">
                    <c:v>JL02</c:v>
                  </c:pt>
                  <c:pt idx="2">
                    <c:v>JL03</c:v>
                  </c:pt>
                  <c:pt idx="3">
                    <c:v>JL04</c:v>
                  </c:pt>
                  <c:pt idx="4">
                    <c:v>JL05</c:v>
                  </c:pt>
                  <c:pt idx="5">
                    <c:v>JL06</c:v>
                  </c:pt>
                  <c:pt idx="6">
                    <c:v>JL07</c:v>
                  </c:pt>
                  <c:pt idx="7">
                    <c:v>JL12</c:v>
                  </c:pt>
                  <c:pt idx="8">
                    <c:v>JL14</c:v>
                  </c:pt>
                  <c:pt idx="9">
                    <c:v>JL16</c:v>
                  </c:pt>
                  <c:pt idx="10">
                    <c:v>JL22</c:v>
                  </c:pt>
                  <c:pt idx="11">
                    <c:v>JL25</c:v>
                  </c:pt>
                </c15:dlblRangeCache>
              </c15:datalabelsRange>
            </c:ext>
            <c:ext xmlns:c16="http://schemas.microsoft.com/office/drawing/2014/chart" uri="{C3380CC4-5D6E-409C-BE32-E72D297353CC}">
              <c16:uniqueId val="{0000000C-81C3-4508-9654-B4BE2DFD9004}"/>
            </c:ext>
          </c:extLst>
        </c:ser>
        <c:dLbls>
          <c:dLblPos val="t"/>
          <c:showLegendKey val="0"/>
          <c:showVal val="1"/>
          <c:showCatName val="0"/>
          <c:showSerName val="0"/>
          <c:showPercent val="0"/>
          <c:showBubbleSize val="0"/>
        </c:dLbls>
        <c:axId val="1474859232"/>
        <c:axId val="1474861152"/>
      </c:scatterChart>
      <c:valAx>
        <c:axId val="14748592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600" b="1"/>
                  <a:t>USG%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74861152"/>
        <c:crosses val="autoZero"/>
        <c:crossBetween val="midCat"/>
      </c:valAx>
      <c:valAx>
        <c:axId val="1474861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sz="1600" b="1"/>
                  <a:t>OER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4748592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image" Target="../media/image1.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570030</xdr:colOff>
      <xdr:row>1</xdr:row>
      <xdr:rowOff>142943</xdr:rowOff>
    </xdr:from>
    <xdr:to>
      <xdr:col>19</xdr:col>
      <xdr:colOff>34323</xdr:colOff>
      <xdr:row>34</xdr:row>
      <xdr:rowOff>68648</xdr:rowOff>
    </xdr:to>
    <xdr:graphicFrame macro="">
      <xdr:nvGraphicFramePr>
        <xdr:cNvPr id="9" name="Gráfico 8">
          <a:extLst>
            <a:ext uri="{FF2B5EF4-FFF2-40B4-BE49-F238E27FC236}">
              <a16:creationId xmlns:a16="http://schemas.microsoft.com/office/drawing/2014/main" id="{37D3CF3B-CF0D-A69D-8E40-85B243FCF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9</xdr:col>
      <xdr:colOff>540926</xdr:colOff>
      <xdr:row>25</xdr:row>
      <xdr:rowOff>105833</xdr:rowOff>
    </xdr:to>
    <xdr:graphicFrame macro="">
      <xdr:nvGraphicFramePr>
        <xdr:cNvPr id="2" name="Gráfico 1">
          <a:extLst>
            <a:ext uri="{FF2B5EF4-FFF2-40B4-BE49-F238E27FC236}">
              <a16:creationId xmlns:a16="http://schemas.microsoft.com/office/drawing/2014/main" id="{21A55D0E-BF35-48EE-98C7-3AC2E0226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277519</xdr:colOff>
      <xdr:row>2</xdr:row>
      <xdr:rowOff>34019</xdr:rowOff>
    </xdr:from>
    <xdr:to>
      <xdr:col>21</xdr:col>
      <xdr:colOff>419554</xdr:colOff>
      <xdr:row>26</xdr:row>
      <xdr:rowOff>1647</xdr:rowOff>
    </xdr:to>
    <xdr:graphicFrame macro="">
      <xdr:nvGraphicFramePr>
        <xdr:cNvPr id="3" name="Gráfico 2">
          <a:extLst>
            <a:ext uri="{FF2B5EF4-FFF2-40B4-BE49-F238E27FC236}">
              <a16:creationId xmlns:a16="http://schemas.microsoft.com/office/drawing/2014/main" id="{A766E675-D48B-836C-769C-1DB3092F56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265551</xdr:colOff>
      <xdr:row>2</xdr:row>
      <xdr:rowOff>66980</xdr:rowOff>
    </xdr:from>
    <xdr:to>
      <xdr:col>32</xdr:col>
      <xdr:colOff>407586</xdr:colOff>
      <xdr:row>26</xdr:row>
      <xdr:rowOff>38828</xdr:rowOff>
    </xdr:to>
    <xdr:graphicFrame macro="">
      <xdr:nvGraphicFramePr>
        <xdr:cNvPr id="4" name="Gráfico 3">
          <a:extLst>
            <a:ext uri="{FF2B5EF4-FFF2-40B4-BE49-F238E27FC236}">
              <a16:creationId xmlns:a16="http://schemas.microsoft.com/office/drawing/2014/main" id="{CD97BED0-A3B7-4FEB-BC2D-8EEACBFA4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29</xdr:row>
      <xdr:rowOff>-1</xdr:rowOff>
    </xdr:from>
    <xdr:to>
      <xdr:col>21</xdr:col>
      <xdr:colOff>236279</xdr:colOff>
      <xdr:row>54</xdr:row>
      <xdr:rowOff>0</xdr:rowOff>
    </xdr:to>
    <xdr:graphicFrame macro="">
      <xdr:nvGraphicFramePr>
        <xdr:cNvPr id="6" name="Gráfico 5">
          <a:extLst>
            <a:ext uri="{FF2B5EF4-FFF2-40B4-BE49-F238E27FC236}">
              <a16:creationId xmlns:a16="http://schemas.microsoft.com/office/drawing/2014/main" id="{1CC4A0FF-BFD2-4C63-BCF2-F9D531940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694070</xdr:colOff>
      <xdr:row>55</xdr:row>
      <xdr:rowOff>103372</xdr:rowOff>
    </xdr:from>
    <xdr:to>
      <xdr:col>21</xdr:col>
      <xdr:colOff>162442</xdr:colOff>
      <xdr:row>80</xdr:row>
      <xdr:rowOff>103373</xdr:rowOff>
    </xdr:to>
    <xdr:graphicFrame macro="">
      <xdr:nvGraphicFramePr>
        <xdr:cNvPr id="7" name="Gráfico 6">
          <a:extLst>
            <a:ext uri="{FF2B5EF4-FFF2-40B4-BE49-F238E27FC236}">
              <a16:creationId xmlns:a16="http://schemas.microsoft.com/office/drawing/2014/main" id="{BA7B1DA3-AA7B-445E-96E9-2E6F029EC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356219</xdr:colOff>
      <xdr:row>29</xdr:row>
      <xdr:rowOff>15488</xdr:rowOff>
    </xdr:from>
    <xdr:to>
      <xdr:col>31</xdr:col>
      <xdr:colOff>592498</xdr:colOff>
      <xdr:row>54</xdr:row>
      <xdr:rowOff>15489</xdr:rowOff>
    </xdr:to>
    <xdr:graphicFrame macro="">
      <xdr:nvGraphicFramePr>
        <xdr:cNvPr id="8" name="Gráfico 7">
          <a:extLst>
            <a:ext uri="{FF2B5EF4-FFF2-40B4-BE49-F238E27FC236}">
              <a16:creationId xmlns:a16="http://schemas.microsoft.com/office/drawing/2014/main" id="{97550532-84ED-4762-B2BB-32443F03E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542072</xdr:colOff>
      <xdr:row>55</xdr:row>
      <xdr:rowOff>61952</xdr:rowOff>
    </xdr:from>
    <xdr:to>
      <xdr:col>32</xdr:col>
      <xdr:colOff>10444</xdr:colOff>
      <xdr:row>80</xdr:row>
      <xdr:rowOff>61953</xdr:rowOff>
    </xdr:to>
    <xdr:graphicFrame macro="">
      <xdr:nvGraphicFramePr>
        <xdr:cNvPr id="9" name="Gráfico 8">
          <a:extLst>
            <a:ext uri="{FF2B5EF4-FFF2-40B4-BE49-F238E27FC236}">
              <a16:creationId xmlns:a16="http://schemas.microsoft.com/office/drawing/2014/main" id="{D04761DC-BBFC-4D4F-9578-94B740648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33</xdr:col>
      <xdr:colOff>293076</xdr:colOff>
      <xdr:row>2</xdr:row>
      <xdr:rowOff>39825</xdr:rowOff>
    </xdr:from>
    <xdr:to>
      <xdr:col>42</xdr:col>
      <xdr:colOff>431475</xdr:colOff>
      <xdr:row>30</xdr:row>
      <xdr:rowOff>15401</xdr:rowOff>
    </xdr:to>
    <xdr:graphicFrame macro="">
      <xdr:nvGraphicFramePr>
        <xdr:cNvPr id="10" name="Gráfico 9">
          <a:extLst>
            <a:ext uri="{FF2B5EF4-FFF2-40B4-BE49-F238E27FC236}">
              <a16:creationId xmlns:a16="http://schemas.microsoft.com/office/drawing/2014/main" id="{E6AF3B5D-31DA-8CD9-520C-957226604A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33</xdr:col>
      <xdr:colOff>291759</xdr:colOff>
      <xdr:row>32</xdr:row>
      <xdr:rowOff>70555</xdr:rowOff>
    </xdr:from>
    <xdr:to>
      <xdr:col>42</xdr:col>
      <xdr:colOff>449793</xdr:colOff>
      <xdr:row>64</xdr:row>
      <xdr:rowOff>148441</xdr:rowOff>
    </xdr:to>
    <xdr:graphicFrame macro="">
      <xdr:nvGraphicFramePr>
        <xdr:cNvPr id="11" name="Gráfico 10">
          <a:extLst>
            <a:ext uri="{FF2B5EF4-FFF2-40B4-BE49-F238E27FC236}">
              <a16:creationId xmlns:a16="http://schemas.microsoft.com/office/drawing/2014/main" id="{392EFED0-D230-454F-AB68-0E5883801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42</xdr:col>
      <xdr:colOff>644769</xdr:colOff>
      <xdr:row>2</xdr:row>
      <xdr:rowOff>19539</xdr:rowOff>
    </xdr:from>
    <xdr:to>
      <xdr:col>52</xdr:col>
      <xdr:colOff>21168</xdr:colOff>
      <xdr:row>29</xdr:row>
      <xdr:rowOff>180731</xdr:rowOff>
    </xdr:to>
    <xdr:graphicFrame macro="">
      <xdr:nvGraphicFramePr>
        <xdr:cNvPr id="12" name="Gráfico 11">
          <a:extLst>
            <a:ext uri="{FF2B5EF4-FFF2-40B4-BE49-F238E27FC236}">
              <a16:creationId xmlns:a16="http://schemas.microsoft.com/office/drawing/2014/main" id="{69ECB7CA-7B8A-4D3F-900A-B59BE67EB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43</xdr:col>
      <xdr:colOff>35278</xdr:colOff>
      <xdr:row>31</xdr:row>
      <xdr:rowOff>132292</xdr:rowOff>
    </xdr:from>
    <xdr:to>
      <xdr:col>52</xdr:col>
      <xdr:colOff>176737</xdr:colOff>
      <xdr:row>59</xdr:row>
      <xdr:rowOff>108275</xdr:rowOff>
    </xdr:to>
    <xdr:graphicFrame macro="">
      <xdr:nvGraphicFramePr>
        <xdr:cNvPr id="13" name="Gráfico 12">
          <a:extLst>
            <a:ext uri="{FF2B5EF4-FFF2-40B4-BE49-F238E27FC236}">
              <a16:creationId xmlns:a16="http://schemas.microsoft.com/office/drawing/2014/main" id="{79103A0F-C043-456B-B4A1-4B680F306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43</xdr:col>
      <xdr:colOff>55907</xdr:colOff>
      <xdr:row>67</xdr:row>
      <xdr:rowOff>17459</xdr:rowOff>
    </xdr:from>
    <xdr:to>
      <xdr:col>52</xdr:col>
      <xdr:colOff>466973</xdr:colOff>
      <xdr:row>92</xdr:row>
      <xdr:rowOff>5477</xdr:rowOff>
    </xdr:to>
    <xdr:pic>
      <xdr:nvPicPr>
        <xdr:cNvPr id="14" name="Imagen 13">
          <a:extLst>
            <a:ext uri="{FF2B5EF4-FFF2-40B4-BE49-F238E27FC236}">
              <a16:creationId xmlns:a16="http://schemas.microsoft.com/office/drawing/2014/main" id="{6E4BD5B2-7850-1A85-4331-1B6E6E6AFA0D}"/>
            </a:ext>
          </a:extLst>
        </xdr:cNvPr>
        <xdr:cNvPicPr>
          <a:picLocks noChangeAspect="1"/>
        </xdr:cNvPicPr>
      </xdr:nvPicPr>
      <xdr:blipFill>
        <a:blip xmlns:r="http://schemas.openxmlformats.org/officeDocument/2006/relationships" r:embed="rId12"/>
        <a:stretch>
          <a:fillRect/>
        </a:stretch>
      </xdr:blipFill>
      <xdr:spPr>
        <a:xfrm>
          <a:off x="32821907" y="12173173"/>
          <a:ext cx="8167137" cy="452373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Pablo Gómez Villamayor" id="{39EE077F-2D8F-461F-A3C8-E2A56CF63FB7}" userId="f64451535891f4cb"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 dT="2026-01-09T16:39:31.18" personId="{39EE077F-2D8F-461F-A3C8-E2A56CF63FB7}" id="{3A388D8E-5770-4750-B8A0-FF84FEE1FA12}">
    <text xml:space="preserve">Queremos ver si hay jugadores que no juegan ningún minuto en el cuarto.
Para ello, comprobamos si la primera entrada es distinta de cero
</text>
  </threadedComment>
  <threadedComment ref="I1" dT="2026-01-09T16:41:11.48" personId="{39EE077F-2D8F-461F-A3C8-E2A56CF63FB7}" id="{6BEB023E-8D02-4B82-9BD0-BBB97083BF27}">
    <text xml:space="preserve">CONDICIÓN: Ver si la última entrada es posterior (valor de tiempo menor) que la última salida. 
Si un jgador no juega, tanto su última entrada como su última salida son 0, y la CONDICIÓN se cumple.  Hay que añadir verificación lógica adicional, puesto que hay jugadores que no juegan ningún minuto. Si no la añadieramos, aparecería como que los jugadores que no juegan ningún minuto, habrían terminado el cuarto, lo cual es erróneo (e imposible).
Por eso, además, además de la CONDICIÓN, verificamos que el jugador haya jugado algún minuto (Columna H=VERDADERO).
RESULTADO: Quedan 5 jugadores que acaban el cuarto, en cada equipo, luego es correcto. Los hemos marcado en color verde
</text>
  </threadedComment>
  <threadedComment ref="J1" dT="2026-01-09T16:43:56.98" personId="{39EE077F-2D8F-461F-A3C8-E2A56CF63FB7}" id="{D85CA54A-0122-48C1-ABEA-8D9A981E2BA8}">
    <text xml:space="preserve">Da el tiempo en pista durante el último subintervalo del cuarto de los jugadores que acaban el cuarto. 
Es decir, si el jugador:
-SÍ acaba el cuarto: Tiempo Última entrada - 00:00 (final de cuarto)
-NO acaba el cuarto: Devuelve 0 minutos
</text>
  </threadedComment>
  <threadedComment ref="K1" dT="2026-01-09T16:50:21.88" personId="{39EE077F-2D8F-461F-A3C8-E2A56CF63FB7}" id="{C86D6E9E-A49C-4C7A-B967-69D8C817ECD7}">
    <text xml:space="preserve">El resto de subintervalos de tiempo de cada jugador ya lo habíamos calculado en la hoja anterior: Es la columna AD de la hoja 2 del excel.
Ahí, calculabamos última entrada-última salida de todos los jugadores, tanto los que acaban el cuarto, como los que no. Para los que no acaban el cuarto, la suma de estos tiempos es su tiempo total de juego. Para los que sí acaban el cuarto, falta añadir el último subintervalo, por lo que hay que sumar la columna  J.
Una solución más fácil es parametrizar/tagear los jugadores que acaban el cuarto en pista como un nuevo evento, “Finishing lineup”. 
De esta forma, con la correspondiente columna de la hoja del dataset, calculariamos TODOS los intervalos de todos los jugadores, y no habría que complicarse tanto.
Sin embargo, en el el play by play de la liga Endesa (al menos el que se muestra en la web), el acabar un cuarto en pista no se registra como evento.
Por este motivo, en primera instancia decidí no hacerlo de ese modo, y buscarme una manera alternativa, que es la que hemos mostrado en la hoja 3 del excel. Aunque es algo más largo, creo que me ha resultado útil para ver el funcionamiento interno de un boxscore y pelearme un poco con el Excel. Por eso he dejado esta primera vía en la entrega.
Sin embargo, considero que la segunda forma es MUCHO MÁS CLARA y replicable. 
Por ello, he incluido la versión simplificada en siguiente hoja, “4-BOXSCORE_1Q”. 
Así, he añadido al final de la hoja 2 del dataset los eventos de “Finishing Lineup”. De este modo, calculo todos los subintervalos de tiempo en pista de todos los jugadores de la misma manera. Ahora sí, esta versión es escalable, si en lugar de etiquetar un cuarto de un partido hubieramos tomado datos de un partido completo. 
De esta forma, con este mismo documento Excel, podríamos registrar el PlayByPlay de un partido completo, y construir el Boxscore de todo el partido. completo de un partido, con este mismo documento Excel. 
Con este método, podrían calcularse tanto las estadísticas por cuarto de cada jugador, como las estadísticas del partido completo. Y lo mismo sobre las estadísticas del equipo.
</text>
  </threadedComment>
  <threadedComment ref="O1" dT="2026-01-09T20:11:26.65" personId="{39EE077F-2D8F-461F-A3C8-E2A56CF63FB7}" id="{BA8BF584-3C73-4128-AC86-A26B92934345}">
    <text xml:space="preserve">La casilla O2 permite seleccionar el cuarto. 
De este modo, podemos calcular los minutos jugados por cada jugador en cada cuarto. Solo hemos tomado datos del primer cuarto. Por eso, hemos dejado esta casilla en el valor ‘1’. 
A modo de ver como se gestionaría un Play By Play completo (y el correspondiente BoxScore), se han añadido unos eventos de ejemplo en cada uno de los siguientes cuartos (2º, 3º y 4º). Solo jugadores iniciales y finales del cuarto, y un triple.
Puedes probar a cambiar la casilla O2 por un ‘2’, y ver el efecto sobre esta hoja de cálculo.
</text>
  </threadedComment>
  <threadedComment ref="M25" dT="2026-01-09T20:08:23.96" personId="{39EE077F-2D8F-461F-A3C8-E2A56CF63FB7}" id="{98006BAD-64ED-4B1B-855A-51A6AB383296}">
    <text xml:space="preserve">TIEMPO TOTAL JUEGO DE UN CUARTO:
50 MINUTOS
10 min x 5 jugadores = 50 min 
Ambos equipos dan correcto
</text>
  </threadedComment>
</ThreadedComments>
</file>

<file path=xl/threadedComments/threadedComment2.xml><?xml version="1.0" encoding="utf-8"?>
<ThreadedComments xmlns="http://schemas.microsoft.com/office/spreadsheetml/2018/threadedcomments" xmlns:x="http://schemas.openxmlformats.org/spreadsheetml/2006/main">
  <threadedComment ref="AA1" dT="2026-01-09T19:32:25.29" personId="{39EE077F-2D8F-461F-A3C8-E2A56CF63FB7}" id="{26F2A9F4-E390-4AFB-9FB7-D067C1B5D17B}">
    <text>La casilla inferior (AA2) permite seleccionar el cuarto del que se quieren calcular estadísticas. 
Solo hemos tomado datos del primer cuarto del partido. Si se cambia el ‘1’ por cualquier otro valor, verás como todas las stats se vuelven nulas.
EXTRA: Vamos a ver el funcionamiento del PlayByPlay de un partido completo. Para ello, añadimos  una jugada hipotética en cada cuarto del partido. Por ejemplo, un triple del jugador de manresa Dani Perez (nº 55). 
Vamos a simplificarlo, de modo que los jugadores que finalizaron en pista en el primer cuarto, juegan el resto del partido. Es decir, empiezan y acaban cada uno de los siguientes cuartos, y no hay cambios. Hemos incluido los eventos correspondientes en el dataset (Hoja 2 del documento), desde la línea 164 a la línea 242.
Así, si cambiamos la casilla AA2, que incluye el cuarto, por ‘2’, ‘3’ o ‘4’, podremos ver como se modifica el Boxscore.
La función clave en Excel para el boxscore es “SUMAR.SI.CONJUNTO()”. A partir de estas condiciones, podríamos calcular otras estadisticas, como por ejemplo, del primer y último cuarto, añadiendo más condiciones lógicas...</text>
  </threadedComment>
  <threadedComment ref="C15" dT="2026-01-09T17:38:52.28" personId="{39EE077F-2D8F-461F-A3C8-E2A56CF63FB7}" id="{0D295182-EE93-4BC8-8728-A8CABA422ED9}">
    <text xml:space="preserve">CORRECTO: 50 MINUTOS TOTALES DE CADA EQUIPO, SUMANDO TODOS LOS JUGADORES.
</text>
  </threadedComment>
  <threadedComment ref="C31" dT="2026-01-09T17:38:59.89" personId="{39EE077F-2D8F-461F-A3C8-E2A56CF63FB7}" id="{DB498C45-7693-403D-9F64-48CDA552FD3E}">
    <text xml:space="preserve">CORRECTO: 50 MINUTOS TOTALES DE CADA EQUIPO, SUMANDO TODOS LOS JUGADORES.
</text>
  </threadedComment>
</ThreadedComments>
</file>

<file path=xl/threadedComments/threadedComment3.xml><?xml version="1.0" encoding="utf-8"?>
<ThreadedComments xmlns="http://schemas.microsoft.com/office/spreadsheetml/2018/threadedcomments" xmlns:x="http://schemas.openxmlformats.org/spreadsheetml/2006/main">
  <threadedComment ref="C15" dT="2026-01-09T17:38:52.28" personId="{39EE077F-2D8F-461F-A3C8-E2A56CF63FB7}" id="{8B961693-39A8-43C4-88C8-F948EE71292B}">
    <text xml:space="preserve">CORRECTO: 50 MINUTOS TOTALES DE CADA EQUIPO, SUMANDO TODOS LOS JUGADORES.
</text>
  </threadedComment>
  <threadedComment ref="C31" dT="2026-01-09T17:38:59.89" personId="{39EE077F-2D8F-461F-A3C8-E2A56CF63FB7}" id="{15835376-1C2A-404D-B966-77035A619DE1}">
    <text xml:space="preserve">CORRECTO: 50 MINUTOS TOTALES DE CADA EQUIPO, SUMANDO TODOS LOS JUGADORES.
</text>
  </threadedComment>
</ThreadedComments>
</file>

<file path=xl/threadedComments/threadedComment4.xml><?xml version="1.0" encoding="utf-8"?>
<ThreadedComments xmlns="http://schemas.microsoft.com/office/spreadsheetml/2018/threadedcomments" xmlns:x="http://schemas.openxmlformats.org/spreadsheetml/2006/main">
  <threadedComment ref="E1" dT="2026-01-09T21:23:40.96" personId="{39EE077F-2D8F-461F-A3C8-E2A56CF63FB7}" id="{F0CE6BEC-9C15-490D-9DAE-17C955AD1482}">
    <text>Para que el gráfico tenga sentido, el tiempo tiene que ser creciente</text>
  </threadedComment>
</ThreadedComments>
</file>

<file path=xl/threadedComments/threadedComment5.xml><?xml version="1.0" encoding="utf-8"?>
<ThreadedComments xmlns="http://schemas.microsoft.com/office/spreadsheetml/2018/threadedcomments" xmlns:x="http://schemas.openxmlformats.org/spreadsheetml/2006/main">
  <threadedComment ref="AB1" dT="2026-01-09T21:58:32.14" personId="{39EE077F-2D8F-461F-A3C8-E2A56CF63FB7}" id="{887D5A53-0E35-4789-BBA4-F779FBEDB12A}">
    <text xml:space="preserve">Points Per Shot Attempt
https://www.nbastuffer.com/analytics101/points-per-shot-attempt/
</text>
    <extLst>
      <x:ext xmlns:xltc2="http://schemas.microsoft.com/office/spreadsheetml/2020/threadedcomments2" uri="{F7C98A9C-CBB3-438F-8F68-D28B6AF4A901}">
        <xltc2:checksum>353283408</xltc2:checksum>
        <xltc2:hyperlink startIndex="25" length="64" url="https://www.nbastuffer.com/analytics101/points-per-shot-attempt/"/>
      </x:ext>
    </extLst>
  </threadedComment>
  <threadedComment ref="AG1" dT="2026-01-09T19:32:25.29" personId="{39EE077F-2D8F-461F-A3C8-E2A56CF63FB7}" id="{7DB33153-9894-4B05-A7F7-A37DB1CD3573}">
    <text>La casilla inferior (AA2) permite seleccionar el cuarto del que se quieren calcular estadísticas. 
Solo hemos tomado datos del primer cuarto del partido. Si se cambia el ‘1’ por cualquier otro valor, verás como todas las stats se vuelven nulas.
EXTRA: Vamos a ver el funcionamiento del PlayByPlay de un partido completo. Para ello, añadimos  una jugada hipotética en cada cuarto del partido. Por ejemplo, un triple del jugador de manresa Dani Perez (nº 55). 
Vamos a simplificarlo, de modo que los jugadores que finalizaron en pista en el primer cuarto, juegan el resto del partido. Es decir, empiezan y acaban cada uno de los siguientes cuartos, y no hay cambios. Hemos incluido los eventos correspondientes en el dataset (Hoja 2 del documento), desde la línea 164 a la línea 242.
Así, si cambiamos la casilla AA2, que incluye el cuarto, por ‘2’, ‘3’ o ‘4’, podremos ver como se modifica el Boxscore.
La función clave en Excel para el boxscore es “SUMAR.SI.CONJUNTO()”. A partir de estas condiciones, podríamos calcular otras estadisticas, como por ejemplo, del primer y último cuarto, añadiendo más condiciones lógicas...</text>
  </threadedComment>
  <threadedComment ref="C15" dT="2026-01-09T17:38:52.28" personId="{39EE077F-2D8F-461F-A3C8-E2A56CF63FB7}" id="{FD96BA22-790B-4853-A478-C6D3DAF07810}">
    <text xml:space="preserve">CORRECTO: 50 MINUTOS TOTALES DE CADA EQUIPO, SUMANDO TODOS LOS JUGADORES.
</text>
  </threadedComment>
  <threadedComment ref="C31" dT="2026-01-09T17:38:59.89" personId="{39EE077F-2D8F-461F-A3C8-E2A56CF63FB7}" id="{8869BC74-ED0E-4989-B320-8DE341989982}">
    <text xml:space="preserve">CORRECTO: 50 MINUTOS TOTALES DE CADA EQUIPO, SUMANDO TODOS LOS JUGADORES.
</text>
  </threadedComment>
</ThreadedComments>
</file>

<file path=xl/threadedComments/threadedComment6.xml><?xml version="1.0" encoding="utf-8"?>
<ThreadedComments xmlns="http://schemas.microsoft.com/office/spreadsheetml/2018/threadedcomments" xmlns:x="http://schemas.openxmlformats.org/spreadsheetml/2006/main">
  <threadedComment ref="AR63" dT="2026-01-10T01:55:31.75" personId="{39EE077F-2D8F-461F-A3C8-E2A56CF63FB7}" id="{D730ED10-C253-41EB-B5DC-C2415D5C9A7D}">
    <text>LAS GRÁFICAS DE USG% VS OER SUELEN UTILIZARSE PARA CLASIFICAR JUGADORES.
EN ESTE CASO NO SON SIGNIFICATIVAS, PORQUE LA MUESTRA ES MUY PEQUEÑA</text>
  </threadedComment>
  <threadedComment ref="X82" dT="2026-01-10T01:34:55.33" personId="{39EE077F-2D8F-461F-A3C8-E2A56CF63FB7}" id="{6AA7ECEE-A298-42D4-AD0F-67A0247F0D14}">
    <text xml:space="preserve">El gráfico de Tiros de 3 dee Lleida no tiene sentido porque no metieron ningún triple (Hicieron 0/2 en el cuarto). 
En el baloncesto actual, solo ese dato de bajo número de triples intentados, y ninguno metido, podría ser un buen predictor de derrota. No a corto plazo, en un partido, pero sí a largo plazo. Este dato no tiene porqué explicar la derrota de Lleida. . Puede que sea testimonial, y que en el resto de cuartos sí anotaran triples. Habría que analizar en detalle el partido en concreto. 
En conclusión, para la mayoría de estadísticas, los datos de un solo partido no son representativos/válidos para extraer conclusiones. 
Como en la mayoría de estudios estadísticos, los resultados serían más fiables ampliando la muestra -&gt;
Más cuartos, más partidos, más temporadas…
</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xml"/><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2.xml"/><Relationship Id="rId4" Type="http://schemas.microsoft.com/office/2017/10/relationships/threadedComment" Target="../threadedComments/threadedCommen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7"/>
  <sheetViews>
    <sheetView topLeftCell="A3" zoomScale="86" workbookViewId="0">
      <selection activeCell="C24" sqref="C24"/>
    </sheetView>
  </sheetViews>
  <sheetFormatPr baseColWidth="10" defaultColWidth="8.7265625" defaultRowHeight="14.5" x14ac:dyDescent="0.35"/>
  <cols>
    <col min="1" max="1" width="12.1796875" style="16" customWidth="1"/>
    <col min="2" max="2" width="10.453125" style="16" customWidth="1"/>
    <col min="3" max="3" width="12.453125" style="16" customWidth="1"/>
    <col min="4" max="4" width="24.36328125" style="16" customWidth="1"/>
    <col min="5" max="7" width="8.7265625" style="16"/>
    <col min="8" max="8" width="8.7265625" style="16" customWidth="1"/>
    <col min="9" max="16384" width="8.7265625" style="16"/>
  </cols>
  <sheetData>
    <row r="1" spans="1:12" x14ac:dyDescent="0.35">
      <c r="A1" s="1" t="s">
        <v>0</v>
      </c>
      <c r="B1" s="1" t="s">
        <v>1</v>
      </c>
      <c r="C1" s="1" t="s">
        <v>2</v>
      </c>
      <c r="D1" s="1" t="s">
        <v>3</v>
      </c>
      <c r="E1" s="1" t="s">
        <v>4</v>
      </c>
      <c r="F1" s="1" t="s">
        <v>5</v>
      </c>
    </row>
    <row r="2" spans="1:12" x14ac:dyDescent="0.35">
      <c r="A2" s="2" t="s">
        <v>27</v>
      </c>
      <c r="B2" s="2" t="s">
        <v>46</v>
      </c>
      <c r="C2" s="2">
        <v>0</v>
      </c>
      <c r="D2" s="2" t="s">
        <v>28</v>
      </c>
      <c r="E2" s="2" t="s">
        <v>36</v>
      </c>
      <c r="F2" s="2" t="s">
        <v>71</v>
      </c>
    </row>
    <row r="3" spans="1:12" x14ac:dyDescent="0.35">
      <c r="A3" s="2" t="s">
        <v>73</v>
      </c>
      <c r="B3" s="2" t="s">
        <v>46</v>
      </c>
      <c r="C3" s="2">
        <v>2</v>
      </c>
      <c r="D3" s="2" t="s">
        <v>6</v>
      </c>
      <c r="E3" s="2" t="s">
        <v>30</v>
      </c>
      <c r="F3" s="2" t="s">
        <v>72</v>
      </c>
      <c r="G3" s="5"/>
      <c r="H3" s="5"/>
      <c r="I3" s="5"/>
      <c r="J3" s="5"/>
      <c r="K3" s="5"/>
      <c r="L3" s="5"/>
    </row>
    <row r="4" spans="1:12" x14ac:dyDescent="0.35">
      <c r="A4" s="2" t="s">
        <v>7</v>
      </c>
      <c r="B4" s="2" t="s">
        <v>46</v>
      </c>
      <c r="C4" s="2">
        <v>8</v>
      </c>
      <c r="D4" s="2" t="s">
        <v>8</v>
      </c>
      <c r="E4" s="2" t="s">
        <v>31</v>
      </c>
      <c r="F4" s="2" t="s">
        <v>72</v>
      </c>
      <c r="G4" s="5"/>
      <c r="H4" s="5"/>
      <c r="I4" s="5"/>
      <c r="J4" s="5"/>
      <c r="K4" s="5"/>
      <c r="L4" s="5"/>
    </row>
    <row r="5" spans="1:12" x14ac:dyDescent="0.35">
      <c r="A5" s="2" t="s">
        <v>9</v>
      </c>
      <c r="B5" s="2" t="s">
        <v>46</v>
      </c>
      <c r="C5" s="2">
        <v>11</v>
      </c>
      <c r="D5" s="2" t="s">
        <v>32</v>
      </c>
      <c r="E5" s="2" t="s">
        <v>31</v>
      </c>
      <c r="F5" s="2" t="s">
        <v>71</v>
      </c>
    </row>
    <row r="6" spans="1:12" x14ac:dyDescent="0.35">
      <c r="A6" s="2" t="s">
        <v>11</v>
      </c>
      <c r="B6" s="2" t="s">
        <v>46</v>
      </c>
      <c r="C6" s="2">
        <v>12</v>
      </c>
      <c r="D6" s="2" t="s">
        <v>33</v>
      </c>
      <c r="E6" s="2" t="s">
        <v>34</v>
      </c>
      <c r="F6" s="2" t="s">
        <v>72</v>
      </c>
    </row>
    <row r="7" spans="1:12" x14ac:dyDescent="0.35">
      <c r="A7" s="2" t="s">
        <v>66</v>
      </c>
      <c r="B7" s="2" t="s">
        <v>46</v>
      </c>
      <c r="C7" s="2">
        <v>18</v>
      </c>
      <c r="D7" s="2" t="s">
        <v>14</v>
      </c>
      <c r="E7" s="2" t="s">
        <v>31</v>
      </c>
      <c r="F7" s="2" t="s">
        <v>71</v>
      </c>
    </row>
    <row r="8" spans="1:12" x14ac:dyDescent="0.35">
      <c r="A8" s="2" t="s">
        <v>70</v>
      </c>
      <c r="B8" s="2" t="s">
        <v>46</v>
      </c>
      <c r="C8" s="2">
        <v>19</v>
      </c>
      <c r="D8" s="2" t="s">
        <v>65</v>
      </c>
      <c r="E8" s="2" t="s">
        <v>34</v>
      </c>
      <c r="F8" s="2" t="s">
        <v>71</v>
      </c>
    </row>
    <row r="9" spans="1:12" x14ac:dyDescent="0.35">
      <c r="A9" s="2" t="s">
        <v>13</v>
      </c>
      <c r="B9" s="2" t="s">
        <v>46</v>
      </c>
      <c r="C9" s="2">
        <v>32</v>
      </c>
      <c r="D9" s="2" t="s">
        <v>12</v>
      </c>
      <c r="E9" s="2" t="s">
        <v>30</v>
      </c>
      <c r="F9" s="2" t="s">
        <v>72</v>
      </c>
    </row>
    <row r="10" spans="1:12" x14ac:dyDescent="0.35">
      <c r="A10" s="2" t="s">
        <v>35</v>
      </c>
      <c r="B10" s="2" t="s">
        <v>46</v>
      </c>
      <c r="C10" s="2">
        <v>33</v>
      </c>
      <c r="D10" s="2" t="s">
        <v>78</v>
      </c>
      <c r="E10" s="2" t="s">
        <v>36</v>
      </c>
      <c r="F10" s="2" t="s">
        <v>72</v>
      </c>
    </row>
    <row r="11" spans="1:12" x14ac:dyDescent="0.35">
      <c r="A11" s="2" t="s">
        <v>67</v>
      </c>
      <c r="B11" s="2" t="s">
        <v>46</v>
      </c>
      <c r="C11" s="2">
        <v>47</v>
      </c>
      <c r="D11" s="2" t="s">
        <v>79</v>
      </c>
      <c r="E11" s="2" t="s">
        <v>36</v>
      </c>
      <c r="F11" s="2" t="s">
        <v>71</v>
      </c>
    </row>
    <row r="12" spans="1:12" x14ac:dyDescent="0.35">
      <c r="A12" s="2" t="s">
        <v>68</v>
      </c>
      <c r="B12" s="2" t="s">
        <v>46</v>
      </c>
      <c r="C12" s="2">
        <v>55</v>
      </c>
      <c r="D12" s="2" t="s">
        <v>10</v>
      </c>
      <c r="E12" s="2" t="s">
        <v>30</v>
      </c>
      <c r="F12" s="2" t="s">
        <v>71</v>
      </c>
    </row>
    <row r="13" spans="1:12" x14ac:dyDescent="0.35">
      <c r="A13" s="2" t="s">
        <v>69</v>
      </c>
      <c r="B13" s="2" t="s">
        <v>46</v>
      </c>
      <c r="C13" s="2">
        <v>99</v>
      </c>
      <c r="D13" s="2" t="s">
        <v>80</v>
      </c>
      <c r="E13" s="2" t="s">
        <v>29</v>
      </c>
      <c r="F13" s="2" t="s">
        <v>71</v>
      </c>
    </row>
    <row r="14" spans="1:12" x14ac:dyDescent="0.35">
      <c r="A14" s="3" t="s">
        <v>15</v>
      </c>
      <c r="B14" s="3" t="s">
        <v>16</v>
      </c>
      <c r="C14" s="3">
        <v>1</v>
      </c>
      <c r="D14" s="3" t="s">
        <v>17</v>
      </c>
      <c r="E14" s="3" t="s">
        <v>29</v>
      </c>
      <c r="F14" s="3" t="s">
        <v>72</v>
      </c>
    </row>
    <row r="15" spans="1:12" x14ac:dyDescent="0.35">
      <c r="A15" s="3" t="s">
        <v>18</v>
      </c>
      <c r="B15" s="3" t="s">
        <v>16</v>
      </c>
      <c r="C15" s="3">
        <v>2</v>
      </c>
      <c r="D15" s="3" t="s">
        <v>19</v>
      </c>
      <c r="E15" s="3" t="s">
        <v>29</v>
      </c>
      <c r="F15" s="3" t="s">
        <v>71</v>
      </c>
    </row>
    <row r="16" spans="1:12" x14ac:dyDescent="0.35">
      <c r="A16" s="3" t="s">
        <v>74</v>
      </c>
      <c r="B16" s="3" t="s">
        <v>16</v>
      </c>
      <c r="C16" s="3">
        <v>3</v>
      </c>
      <c r="D16" s="3" t="s">
        <v>75</v>
      </c>
      <c r="E16" s="3" t="s">
        <v>34</v>
      </c>
      <c r="F16" s="3" t="s">
        <v>72</v>
      </c>
    </row>
    <row r="17" spans="1:6" x14ac:dyDescent="0.35">
      <c r="A17" s="3" t="s">
        <v>20</v>
      </c>
      <c r="B17" s="3" t="s">
        <v>16</v>
      </c>
      <c r="C17" s="3">
        <v>4</v>
      </c>
      <c r="D17" s="3" t="s">
        <v>21</v>
      </c>
      <c r="E17" s="3" t="s">
        <v>29</v>
      </c>
      <c r="F17" s="3" t="s">
        <v>72</v>
      </c>
    </row>
    <row r="18" spans="1:6" x14ac:dyDescent="0.35">
      <c r="A18" s="3" t="s">
        <v>22</v>
      </c>
      <c r="B18" s="3" t="s">
        <v>16</v>
      </c>
      <c r="C18" s="3">
        <v>5</v>
      </c>
      <c r="D18" s="3" t="s">
        <v>23</v>
      </c>
      <c r="E18" s="3" t="s">
        <v>31</v>
      </c>
      <c r="F18" s="3" t="s">
        <v>71</v>
      </c>
    </row>
    <row r="19" spans="1:6" x14ac:dyDescent="0.35">
      <c r="A19" s="3" t="s">
        <v>24</v>
      </c>
      <c r="B19" s="3" t="s">
        <v>16</v>
      </c>
      <c r="C19" s="3">
        <v>6</v>
      </c>
      <c r="D19" s="3" t="s">
        <v>76</v>
      </c>
      <c r="E19" s="3" t="s">
        <v>31</v>
      </c>
      <c r="F19" s="3" t="s">
        <v>71</v>
      </c>
    </row>
    <row r="20" spans="1:6" x14ac:dyDescent="0.35">
      <c r="A20" s="3" t="s">
        <v>45</v>
      </c>
      <c r="B20" s="3" t="s">
        <v>16</v>
      </c>
      <c r="C20" s="3">
        <v>7</v>
      </c>
      <c r="D20" s="3" t="s">
        <v>77</v>
      </c>
      <c r="E20" s="3" t="s">
        <v>36</v>
      </c>
      <c r="F20" s="3" t="s">
        <v>71</v>
      </c>
    </row>
    <row r="21" spans="1:6" x14ac:dyDescent="0.35">
      <c r="A21" s="3" t="s">
        <v>25</v>
      </c>
      <c r="B21" s="3" t="s">
        <v>16</v>
      </c>
      <c r="C21" s="3">
        <v>12</v>
      </c>
      <c r="D21" s="3" t="s">
        <v>26</v>
      </c>
      <c r="E21" s="3" t="s">
        <v>36</v>
      </c>
      <c r="F21" s="3" t="s">
        <v>72</v>
      </c>
    </row>
    <row r="22" spans="1:6" x14ac:dyDescent="0.35">
      <c r="A22" s="3" t="s">
        <v>38</v>
      </c>
      <c r="B22" s="3" t="s">
        <v>16</v>
      </c>
      <c r="C22" s="3">
        <v>14</v>
      </c>
      <c r="D22" s="3" t="s">
        <v>37</v>
      </c>
      <c r="E22" s="3" t="s">
        <v>31</v>
      </c>
      <c r="F22" s="3" t="s">
        <v>72</v>
      </c>
    </row>
    <row r="23" spans="1:6" x14ac:dyDescent="0.35">
      <c r="A23" s="3" t="s">
        <v>39</v>
      </c>
      <c r="B23" s="3" t="s">
        <v>16</v>
      </c>
      <c r="C23" s="3">
        <v>16</v>
      </c>
      <c r="D23" s="3" t="s">
        <v>40</v>
      </c>
      <c r="E23" s="3" t="s">
        <v>31</v>
      </c>
      <c r="F23" s="3" t="s">
        <v>71</v>
      </c>
    </row>
    <row r="24" spans="1:6" x14ac:dyDescent="0.35">
      <c r="A24" s="3" t="s">
        <v>41</v>
      </c>
      <c r="B24" s="3" t="s">
        <v>16</v>
      </c>
      <c r="C24" s="3">
        <v>22</v>
      </c>
      <c r="D24" s="3" t="s">
        <v>42</v>
      </c>
      <c r="E24" s="3" t="s">
        <v>34</v>
      </c>
      <c r="F24" s="3" t="s">
        <v>71</v>
      </c>
    </row>
    <row r="25" spans="1:6" x14ac:dyDescent="0.35">
      <c r="A25" s="3" t="s">
        <v>43</v>
      </c>
      <c r="B25" s="3" t="s">
        <v>16</v>
      </c>
      <c r="C25" s="3">
        <v>25</v>
      </c>
      <c r="D25" s="3" t="s">
        <v>44</v>
      </c>
      <c r="E25" s="3" t="s">
        <v>36</v>
      </c>
      <c r="F25" s="3" t="s">
        <v>71</v>
      </c>
    </row>
    <row r="26" spans="1:6" x14ac:dyDescent="0.35">
      <c r="A26" s="2" t="s">
        <v>120</v>
      </c>
      <c r="D26" s="2" t="s">
        <v>123</v>
      </c>
    </row>
    <row r="27" spans="1:6" x14ac:dyDescent="0.35">
      <c r="A27" s="3" t="s">
        <v>121</v>
      </c>
      <c r="D27" s="3" t="s">
        <v>124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4AC90-15B3-4FEA-BFFD-480E66C89DDC}">
  <sheetPr filterMode="1"/>
  <dimension ref="A1:AF242"/>
  <sheetViews>
    <sheetView zoomScale="58" zoomScaleNormal="31" workbookViewId="0">
      <selection activeCell="K98" sqref="K98"/>
    </sheetView>
  </sheetViews>
  <sheetFormatPr baseColWidth="10" defaultRowHeight="14.5" x14ac:dyDescent="0.35"/>
  <cols>
    <col min="1" max="1" width="13.81640625" style="16" customWidth="1"/>
    <col min="2" max="2" width="10.90625" style="16" customWidth="1"/>
    <col min="3" max="3" width="8.54296875" style="46" customWidth="1"/>
    <col min="4" max="4" width="8.7265625" style="16" customWidth="1"/>
    <col min="5" max="5" width="9.26953125" style="16" customWidth="1"/>
    <col min="6" max="6" width="12.6328125" style="16" customWidth="1"/>
    <col min="7" max="7" width="17.81640625" style="16" customWidth="1"/>
    <col min="8" max="8" width="18.90625" style="16" customWidth="1"/>
    <col min="9" max="9" width="19.36328125" style="16" customWidth="1"/>
    <col min="10" max="10" width="14.90625" style="16" customWidth="1"/>
    <col min="11" max="11" width="16" style="16" customWidth="1"/>
    <col min="12" max="12" width="17.54296875" style="16" customWidth="1"/>
    <col min="13" max="13" width="17.81640625" style="16" customWidth="1"/>
    <col min="14" max="14" width="16.7265625" style="16" customWidth="1"/>
    <col min="15" max="15" width="12.54296875" style="16" customWidth="1"/>
    <col min="16" max="16" width="23.81640625" style="16" customWidth="1"/>
    <col min="17" max="18" width="20.36328125" style="16" customWidth="1"/>
    <col min="19" max="19" width="21" style="16" customWidth="1"/>
    <col min="20" max="20" width="19.26953125" style="16" customWidth="1"/>
    <col min="21" max="21" width="13" style="16" customWidth="1"/>
    <col min="22" max="22" width="11.7265625" style="16" customWidth="1"/>
    <col min="23" max="23" width="15" style="16" customWidth="1"/>
    <col min="24" max="24" width="17.7265625" style="16" customWidth="1"/>
    <col min="25" max="25" width="18.90625" style="16" customWidth="1"/>
    <col min="26" max="26" width="17.7265625" style="16" customWidth="1"/>
    <col min="27" max="27" width="16.1796875" style="16" customWidth="1"/>
    <col min="28" max="28" width="16.08984375" style="16" customWidth="1"/>
    <col min="29" max="29" width="16.6328125" style="16" customWidth="1"/>
    <col min="30" max="30" width="34" style="16" customWidth="1"/>
    <col min="31" max="31" width="32.453125" style="16" customWidth="1"/>
    <col min="32" max="32" width="24.81640625" style="16" customWidth="1"/>
    <col min="33" max="16384" width="10.90625" style="16"/>
  </cols>
  <sheetData>
    <row r="1" spans="1:32" s="15" customFormat="1" x14ac:dyDescent="0.35">
      <c r="A1" s="6" t="s">
        <v>47</v>
      </c>
      <c r="B1" s="6" t="s">
        <v>50</v>
      </c>
      <c r="C1" s="7" t="s">
        <v>54</v>
      </c>
      <c r="D1" s="8" t="s">
        <v>48</v>
      </c>
      <c r="E1" s="8" t="s">
        <v>49</v>
      </c>
      <c r="F1" s="6" t="s">
        <v>1</v>
      </c>
      <c r="G1" s="6" t="s">
        <v>0</v>
      </c>
      <c r="H1" s="8" t="s">
        <v>98</v>
      </c>
      <c r="I1" s="6"/>
      <c r="J1" s="6" t="s">
        <v>53</v>
      </c>
      <c r="K1" s="8" t="s">
        <v>93</v>
      </c>
      <c r="L1" s="8" t="s">
        <v>97</v>
      </c>
      <c r="M1" s="8" t="s">
        <v>92</v>
      </c>
      <c r="N1" s="9" t="s">
        <v>55</v>
      </c>
      <c r="O1" s="9" t="s">
        <v>52</v>
      </c>
      <c r="P1" s="9" t="s">
        <v>87</v>
      </c>
      <c r="Q1" s="9" t="s">
        <v>100</v>
      </c>
      <c r="R1" s="8" t="s">
        <v>101</v>
      </c>
      <c r="S1" s="8" t="s">
        <v>90</v>
      </c>
      <c r="T1" s="8" t="s">
        <v>91</v>
      </c>
      <c r="U1" s="8" t="s">
        <v>56</v>
      </c>
      <c r="V1" s="48" t="s">
        <v>57</v>
      </c>
      <c r="W1" s="48" t="s">
        <v>94</v>
      </c>
      <c r="X1" s="48" t="s">
        <v>88</v>
      </c>
      <c r="Y1" s="8" t="s">
        <v>89</v>
      </c>
      <c r="Z1" s="48" t="s">
        <v>58</v>
      </c>
      <c r="AA1" s="48" t="s">
        <v>59</v>
      </c>
      <c r="AB1" s="48" t="s">
        <v>96</v>
      </c>
      <c r="AC1" s="48" t="s">
        <v>95</v>
      </c>
      <c r="AD1" s="48" t="s">
        <v>126</v>
      </c>
      <c r="AE1" s="15" t="s">
        <v>138</v>
      </c>
      <c r="AF1" s="6" t="s">
        <v>105</v>
      </c>
    </row>
    <row r="2" spans="1:32" hidden="1" x14ac:dyDescent="0.35">
      <c r="A2" s="16">
        <v>1</v>
      </c>
      <c r="B2" s="16">
        <v>1</v>
      </c>
      <c r="C2" s="46">
        <v>6.9444444444444441E-3</v>
      </c>
      <c r="D2" s="16">
        <f>MINUTE(C2)</f>
        <v>10</v>
      </c>
      <c r="E2" s="16">
        <f>SECOND(C2)</f>
        <v>0</v>
      </c>
      <c r="F2" s="16" t="s">
        <v>16</v>
      </c>
      <c r="G2" s="16" t="s">
        <v>25</v>
      </c>
      <c r="H2" s="16" t="str">
        <f>_xlfn.XLOOKUP(G2,'1-Players'!$A$2:$A$27,'1-Players'!$D$2:$D$27,"")</f>
        <v>Atoumane Diagne</v>
      </c>
      <c r="I2" s="16" t="s">
        <v>81</v>
      </c>
      <c r="K2" s="16" t="str" cm="1">
        <f t="array" ref="K2">IFERROR(_xlfn.IFS(I2="Free Throw",1,I2="2-Point Shot",2,I2="Dunk",2,I2="3-Point Shot",3),"")</f>
        <v/>
      </c>
      <c r="L2" s="16" t="str" cm="1">
        <f t="array" ref="L2">IFERROR(_xlfn.IFS(J2="Made",1,J2="Missed",0),"")</f>
        <v/>
      </c>
      <c r="M2" s="16" t="str">
        <f>IFERROR(K2*L2,"")</f>
        <v/>
      </c>
      <c r="R2" s="16" t="str">
        <f>IF(J2&lt;&gt;"Made","",IF(I3="Assist","S","N"))</f>
        <v/>
      </c>
      <c r="S2" s="16" t="str" cm="1">
        <f t="array" ref="S2">IFERROR(_xlfn.IFS(I2="Offensive Rebound",1),"")</f>
        <v/>
      </c>
      <c r="T2" s="16" t="str" cm="1">
        <f t="array" ref="T2">IFERROR(_xlfn.IFS(I2="Defensive Rebound",1),"")</f>
        <v/>
      </c>
      <c r="U2" s="16" t="str" cm="1">
        <f t="array" ref="U2">IFERROR(_xlfn.IFS(I2="Assist",1),"")</f>
        <v/>
      </c>
      <c r="V2" s="16" t="str" cm="1">
        <f t="array" ref="V2">IFERROR(_xlfn.IFS(I2="Turnover",1),"")</f>
        <v/>
      </c>
      <c r="W2" s="16" t="str" cm="1">
        <f t="array" ref="W2">IFERROR(_xlfn.IFS(I2="Steal",1),"")</f>
        <v/>
      </c>
      <c r="X2" s="16" t="str" cm="1">
        <f t="array" ref="X2">IFERROR(_xlfn.IFS(I2="Block",1),"")</f>
        <v/>
      </c>
      <c r="Y2" s="16" t="str" cm="1">
        <f t="array" ref="Y2">IFERROR(_xlfn.IFS(I2="Block Received",1),"")</f>
        <v/>
      </c>
      <c r="Z2" s="16" t="str" cm="1">
        <f t="array" ref="Z2">IFERROR(_xlfn.IFS(I2="Foul",1,I2="Foul Technical",1,I2="Offensive Foul",1),"")</f>
        <v/>
      </c>
      <c r="AA2" s="16" t="str" cm="1">
        <f t="array" ref="AA2">IFERROR(_xlfn.IFS(I2="Foul Received",1),"")</f>
        <v/>
      </c>
      <c r="AB2" s="49" cm="1">
        <f t="array" ref="AB2">IFERROR(_xlfn.IFS(I2="Starting lineup",C2,I2="Substitution - In",C2),"")</f>
        <v>6.9444444444444441E-3</v>
      </c>
      <c r="AC2" s="46" t="str" cm="1">
        <f t="array" ref="AC2">IFERROR(_xlfn.IFS(I2="Finishing lineup",C2,I2="Substitution - Out",C2),"")</f>
        <v/>
      </c>
      <c r="AD2" s="46" t="str" cm="1">
        <f t="array" ref="AD2">IF(AC2&lt;&gt;"",LOOKUP(2,1/((G1:G$2=G2)*(AB1:AB$2&lt;&gt;"")),AB1:AB$2)-AC2,"")</f>
        <v/>
      </c>
      <c r="AE2" s="50" t="str" cm="1">
        <f t="array" ref="AE2">IF(AC2&lt;&gt;"",LOOKUP(2,1/((G1:G$2=G2)*(AB1:AB$2&lt;&gt;"")),AB1:AB$2)-AC2,"")</f>
        <v/>
      </c>
    </row>
    <row r="3" spans="1:32" hidden="1" x14ac:dyDescent="0.35">
      <c r="A3" s="16">
        <v>1</v>
      </c>
      <c r="B3" s="16">
        <v>2</v>
      </c>
      <c r="C3" s="46">
        <v>6.9444444444444441E-3</v>
      </c>
      <c r="D3" s="16">
        <f t="shared" ref="D3:D57" si="0">MINUTE(C3)</f>
        <v>10</v>
      </c>
      <c r="E3" s="16">
        <f t="shared" ref="E3:E66" si="1">SECOND(C3)</f>
        <v>0</v>
      </c>
      <c r="F3" s="16" t="s">
        <v>16</v>
      </c>
      <c r="G3" s="16" t="s">
        <v>38</v>
      </c>
      <c r="H3" s="16" t="str">
        <f>_xlfn.XLOOKUP(G3,'1-Players'!$A$2:$A$27,'1-Players'!$D$2:$D$27,"")</f>
        <v>Mikel Sanz</v>
      </c>
      <c r="I3" s="16" t="s">
        <v>81</v>
      </c>
      <c r="K3" s="16" t="str" cm="1">
        <f t="array" ref="K3">IFERROR(_xlfn.IFS(I3="Free Throw",1,I3="2-Point Shot",2,I3="Dunk",2,I3="3-Point Shot",3),"")</f>
        <v/>
      </c>
      <c r="L3" s="16" t="str" cm="1">
        <f t="array" ref="L3">IFERROR(_xlfn.IFS(J3="Made",1,J3="Missed",0),"")</f>
        <v/>
      </c>
      <c r="M3" s="16" t="str">
        <f t="shared" ref="M3:M66" si="2">IFERROR(K3*L3,"")</f>
        <v/>
      </c>
      <c r="R3" s="16" t="str">
        <f t="shared" ref="R3:R66" si="3">IF(J3&lt;&gt;"Made","",IF(I4="Assist","S","N"))</f>
        <v/>
      </c>
      <c r="S3" s="16" t="str" cm="1">
        <f t="array" ref="S3">IFERROR(_xlfn.IFS(I3="Offensive Rebound",1),"")</f>
        <v/>
      </c>
      <c r="T3" s="16" t="str" cm="1">
        <f t="array" ref="T3">IFERROR(_xlfn.IFS(I3="Defensive Rebound",1),"")</f>
        <v/>
      </c>
      <c r="U3" s="16" t="str" cm="1">
        <f t="array" ref="U3">IFERROR(_xlfn.IFS(I3="Assist",1),"")</f>
        <v/>
      </c>
      <c r="V3" s="16" t="str" cm="1">
        <f t="array" ref="V3">IFERROR(_xlfn.IFS(I3="Turnover",1),"")</f>
        <v/>
      </c>
      <c r="W3" s="16" t="str" cm="1">
        <f t="array" ref="W3">IFERROR(_xlfn.IFS(I3="Steal",1),"")</f>
        <v/>
      </c>
      <c r="X3" s="16" t="str" cm="1">
        <f t="array" ref="X3">IFERROR(_xlfn.IFS(I3="Block",1),"")</f>
        <v/>
      </c>
      <c r="Y3" s="16" t="str" cm="1">
        <f t="array" ref="Y3">IFERROR(_xlfn.IFS(I3="Block Received",1),"")</f>
        <v/>
      </c>
      <c r="Z3" s="16" t="str" cm="1">
        <f t="array" ref="Z3">IFERROR(_xlfn.IFS(I3="Foul",1,I3="Foul Technical",1,I3="Offensive Foul",1),"")</f>
        <v/>
      </c>
      <c r="AA3" s="16" t="str" cm="1">
        <f t="array" ref="AA3">IFERROR(_xlfn.IFS(I3="Foul Received",1),"")</f>
        <v/>
      </c>
      <c r="AB3" s="49" cm="1">
        <f t="array" ref="AB3">IFERROR(_xlfn.IFS(I3="Starting lineup",C3,I3="Substitution - In",C3),"")</f>
        <v>6.9444444444444441E-3</v>
      </c>
      <c r="AC3" s="46" t="str" cm="1">
        <f t="array" ref="AC3">IFERROR(_xlfn.IFS(I3="Finishing lineup",C3,I3="Substitution - Out",C3),"")</f>
        <v/>
      </c>
      <c r="AD3" s="46" t="str" cm="1">
        <f t="array" ref="AD3">IF(AC3&lt;&gt;"",LOOKUP(2,1/((G2:G$2=G3)*(AB2:AB$2&lt;&gt;"")),AB2:AB$2)-AC3,"")</f>
        <v/>
      </c>
      <c r="AE3" s="50" t="str" cm="1">
        <f t="array" ref="AE3">IF(AC3&lt;&gt;"",LOOKUP(2,1/((G2:G$2=G3)*(AB2:AB$2&lt;&gt;"")),AB2:AB$2)-AC3,"")</f>
        <v/>
      </c>
    </row>
    <row r="4" spans="1:32" hidden="1" x14ac:dyDescent="0.35">
      <c r="A4" s="16">
        <v>1</v>
      </c>
      <c r="B4" s="16">
        <v>3</v>
      </c>
      <c r="C4" s="46">
        <v>6.9444444444444441E-3</v>
      </c>
      <c r="D4" s="16">
        <f t="shared" si="0"/>
        <v>10</v>
      </c>
      <c r="E4" s="16">
        <f t="shared" si="1"/>
        <v>0</v>
      </c>
      <c r="F4" s="16" t="s">
        <v>16</v>
      </c>
      <c r="G4" s="16" t="s">
        <v>15</v>
      </c>
      <c r="H4" s="16" t="str">
        <f>_xlfn.XLOOKUP(G4,'1-Players'!$A$2:$A$27,'1-Players'!$D$2:$D$27,"")</f>
        <v>James Batemon</v>
      </c>
      <c r="I4" s="16" t="s">
        <v>81</v>
      </c>
      <c r="K4" s="16" t="str" cm="1">
        <f t="array" ref="K4">IFERROR(_xlfn.IFS(I4="Free Throw",1,I4="2-Point Shot",2,I4="Dunk",2,I4="3-Point Shot",3),"")</f>
        <v/>
      </c>
      <c r="L4" s="16" t="str" cm="1">
        <f t="array" ref="L4">IFERROR(_xlfn.IFS(J4="Made",1,J4="Missed",0),"")</f>
        <v/>
      </c>
      <c r="M4" s="16" t="str">
        <f t="shared" si="2"/>
        <v/>
      </c>
      <c r="O4" s="4"/>
      <c r="R4" s="16" t="str">
        <f t="shared" si="3"/>
        <v/>
      </c>
      <c r="S4" s="16" t="str" cm="1">
        <f t="array" ref="S4">IFERROR(_xlfn.IFS(I4="Offensive Rebound",1),"")</f>
        <v/>
      </c>
      <c r="T4" s="16" t="str" cm="1">
        <f t="array" ref="T4">IFERROR(_xlfn.IFS(I4="Defensive Rebound",1),"")</f>
        <v/>
      </c>
      <c r="U4" s="16" t="str" cm="1">
        <f t="array" ref="U4">IFERROR(_xlfn.IFS(I4="Assist",1),"")</f>
        <v/>
      </c>
      <c r="V4" s="16" t="str" cm="1">
        <f t="array" ref="V4">IFERROR(_xlfn.IFS(I4="Turnover",1),"")</f>
        <v/>
      </c>
      <c r="W4" s="16" t="str" cm="1">
        <f t="array" ref="W4">IFERROR(_xlfn.IFS(I4="Steal",1),"")</f>
        <v/>
      </c>
      <c r="X4" s="16" t="str" cm="1">
        <f t="array" ref="X4">IFERROR(_xlfn.IFS(I4="Block",1),"")</f>
        <v/>
      </c>
      <c r="Y4" s="16" t="str" cm="1">
        <f t="array" ref="Y4">IFERROR(_xlfn.IFS(I4="Block Received",1),"")</f>
        <v/>
      </c>
      <c r="Z4" s="16" t="str" cm="1">
        <f t="array" ref="Z4">IFERROR(_xlfn.IFS(I4="Foul",1,I4="Foul Technical",1,I4="Offensive Foul",1),"")</f>
        <v/>
      </c>
      <c r="AA4" s="16" t="str" cm="1">
        <f t="array" ref="AA4">IFERROR(_xlfn.IFS(I4="Foul Received",1),"")</f>
        <v/>
      </c>
      <c r="AB4" s="49" cm="1">
        <f t="array" ref="AB4">IFERROR(_xlfn.IFS(I4="Starting lineup",C4,I4="Substitution - In",C4),"")</f>
        <v>6.9444444444444441E-3</v>
      </c>
      <c r="AC4" s="46" t="str" cm="1">
        <f t="array" ref="AC4">IFERROR(_xlfn.IFS(I4="Finishing lineup",C4,I4="Substitution - Out",C4),"")</f>
        <v/>
      </c>
      <c r="AD4" s="46" t="str" cm="1">
        <f t="array" ref="AD4">IF(AC4&lt;&gt;"",LOOKUP(2,1/((G$2:G3=G4)*(AB$2:AB3&lt;&gt;"")),AB$2:AB3)-AC4,"")</f>
        <v/>
      </c>
      <c r="AE4" s="50" t="str" cm="1">
        <f t="array" ref="AE4">IF(AC4&lt;&gt;"",LOOKUP(2,1/((G$2:G3=G4)*(AB$2:AB3&lt;&gt;"")),AB$2:AB3)-AC4,"")</f>
        <v/>
      </c>
    </row>
    <row r="5" spans="1:32" hidden="1" x14ac:dyDescent="0.35">
      <c r="A5" s="16">
        <v>1</v>
      </c>
      <c r="B5" s="16">
        <v>4</v>
      </c>
      <c r="C5" s="46">
        <v>6.9444444444444441E-3</v>
      </c>
      <c r="D5" s="16">
        <f t="shared" si="0"/>
        <v>10</v>
      </c>
      <c r="E5" s="16">
        <f t="shared" si="1"/>
        <v>0</v>
      </c>
      <c r="F5" s="16" t="s">
        <v>16</v>
      </c>
      <c r="G5" s="16" t="s">
        <v>20</v>
      </c>
      <c r="H5" s="16" t="str">
        <f>_xlfn.XLOOKUP(G5,'1-Players'!$A$2:$A$27,'1-Players'!$D$2:$D$27,"")</f>
        <v>Caleb Agada</v>
      </c>
      <c r="I5" s="16" t="s">
        <v>81</v>
      </c>
      <c r="K5" s="16" t="str" cm="1">
        <f t="array" ref="K5">IFERROR(_xlfn.IFS(I5="Free Throw",1,I5="2-Point Shot",2,I5="Dunk",2,I5="3-Point Shot",3),"")</f>
        <v/>
      </c>
      <c r="L5" s="16" t="str" cm="1">
        <f t="array" ref="L5">IFERROR(_xlfn.IFS(J5="Made",1,J5="Missed",0),"")</f>
        <v/>
      </c>
      <c r="M5" s="16" t="str">
        <f t="shared" si="2"/>
        <v/>
      </c>
      <c r="R5" s="16" t="str">
        <f t="shared" si="3"/>
        <v/>
      </c>
      <c r="S5" s="16" t="str" cm="1">
        <f t="array" ref="S5">IFERROR(_xlfn.IFS(I5="Offensive Rebound",1),"")</f>
        <v/>
      </c>
      <c r="T5" s="16" t="str" cm="1">
        <f t="array" ref="T5">IFERROR(_xlfn.IFS(I5="Defensive Rebound",1),"")</f>
        <v/>
      </c>
      <c r="U5" s="16" t="str" cm="1">
        <f t="array" ref="U5">IFERROR(_xlfn.IFS(I5="Assist",1),"")</f>
        <v/>
      </c>
      <c r="V5" s="16" t="str" cm="1">
        <f t="array" ref="V5">IFERROR(_xlfn.IFS(I5="Turnover",1),"")</f>
        <v/>
      </c>
      <c r="W5" s="16" t="str" cm="1">
        <f t="array" ref="W5">IFERROR(_xlfn.IFS(I5="Steal",1),"")</f>
        <v/>
      </c>
      <c r="X5" s="16" t="str" cm="1">
        <f t="array" ref="X5">IFERROR(_xlfn.IFS(I5="Block",1),"")</f>
        <v/>
      </c>
      <c r="Y5" s="16" t="str" cm="1">
        <f t="array" ref="Y5">IFERROR(_xlfn.IFS(I5="Block Received",1),"")</f>
        <v/>
      </c>
      <c r="Z5" s="16" t="str" cm="1">
        <f t="array" ref="Z5">IFERROR(_xlfn.IFS(I5="Foul",1,I5="Foul Technical",1,I5="Offensive Foul",1),"")</f>
        <v/>
      </c>
      <c r="AA5" s="16" t="str" cm="1">
        <f t="array" ref="AA5">IFERROR(_xlfn.IFS(I5="Foul Received",1),"")</f>
        <v/>
      </c>
      <c r="AB5" s="49" cm="1">
        <f t="array" ref="AB5">IFERROR(_xlfn.IFS(I5="Starting lineup",C5,I5="Substitution - In",C5),"")</f>
        <v>6.9444444444444441E-3</v>
      </c>
      <c r="AC5" s="46" t="str" cm="1">
        <f t="array" ref="AC5">IFERROR(_xlfn.IFS(I5="Finishing lineup",C5,I5="Substitution - Out",C5),"")</f>
        <v/>
      </c>
      <c r="AD5" s="46" t="str" cm="1">
        <f t="array" ref="AD5">IF(AC5&lt;&gt;"",LOOKUP(2,1/((G$2:G4=G5)*(AB$2:AB4&lt;&gt;"")),AB$2:AB4)-AC5,"")</f>
        <v/>
      </c>
      <c r="AE5" s="50" t="str" cm="1">
        <f t="array" ref="AE5">IF(AC5&lt;&gt;"",LOOKUP(2,1/((G$2:G4=G5)*(AB$2:AB4&lt;&gt;"")),AB$2:AB4)-AC5,"")</f>
        <v/>
      </c>
    </row>
    <row r="6" spans="1:32" hidden="1" x14ac:dyDescent="0.35">
      <c r="A6" s="16">
        <v>1</v>
      </c>
      <c r="B6" s="16">
        <v>5</v>
      </c>
      <c r="C6" s="46">
        <v>6.9444444444444397E-3</v>
      </c>
      <c r="D6" s="16">
        <f t="shared" si="0"/>
        <v>10</v>
      </c>
      <c r="E6" s="16">
        <f t="shared" si="1"/>
        <v>0</v>
      </c>
      <c r="F6" s="16" t="s">
        <v>16</v>
      </c>
      <c r="G6" s="16" t="s">
        <v>74</v>
      </c>
      <c r="H6" s="16" t="str">
        <f>_xlfn.XLOOKUP(G6,'1-Players'!$A$2:$A$27,'1-Players'!$D$2:$D$27,"")</f>
        <v>Melvin Ejim</v>
      </c>
      <c r="I6" s="16" t="s">
        <v>81</v>
      </c>
      <c r="K6" s="16" t="str" cm="1">
        <f t="array" ref="K6">IFERROR(_xlfn.IFS(I6="Free Throw",1,I6="2-Point Shot",2,I6="Dunk",2,I6="3-Point Shot",3),"")</f>
        <v/>
      </c>
      <c r="L6" s="16" t="str" cm="1">
        <f t="array" ref="L6">IFERROR(_xlfn.IFS(J6="Made",1,J6="Missed",0),"")</f>
        <v/>
      </c>
      <c r="M6" s="16" t="str">
        <f t="shared" si="2"/>
        <v/>
      </c>
      <c r="R6" s="16" t="str">
        <f t="shared" si="3"/>
        <v/>
      </c>
      <c r="S6" s="16" t="str" cm="1">
        <f t="array" ref="S6">IFERROR(_xlfn.IFS(I6="Offensive Rebound",1),"")</f>
        <v/>
      </c>
      <c r="T6" s="16" t="str" cm="1">
        <f t="array" ref="T6">IFERROR(_xlfn.IFS(I6="Defensive Rebound",1),"")</f>
        <v/>
      </c>
      <c r="U6" s="16" t="str" cm="1">
        <f t="array" ref="U6">IFERROR(_xlfn.IFS(I6="Assist",1),"")</f>
        <v/>
      </c>
      <c r="V6" s="16" t="str" cm="1">
        <f t="array" ref="V6">IFERROR(_xlfn.IFS(I6="Turnover",1),"")</f>
        <v/>
      </c>
      <c r="W6" s="16" t="str" cm="1">
        <f t="array" ref="W6">IFERROR(_xlfn.IFS(I6="Steal",1),"")</f>
        <v/>
      </c>
      <c r="X6" s="16" t="str" cm="1">
        <f t="array" ref="X6">IFERROR(_xlfn.IFS(I6="Block",1),"")</f>
        <v/>
      </c>
      <c r="Y6" s="16" t="str" cm="1">
        <f t="array" ref="Y6">IFERROR(_xlfn.IFS(I6="Block Received",1),"")</f>
        <v/>
      </c>
      <c r="Z6" s="16" t="str" cm="1">
        <f t="array" ref="Z6">IFERROR(_xlfn.IFS(I6="Foul",1,I6="Foul Technical",1,I6="Offensive Foul",1),"")</f>
        <v/>
      </c>
      <c r="AA6" s="16" t="str" cm="1">
        <f t="array" ref="AA6">IFERROR(_xlfn.IFS(I6="Foul Received",1),"")</f>
        <v/>
      </c>
      <c r="AB6" s="49" cm="1">
        <f t="array" ref="AB6">IFERROR(_xlfn.IFS(I6="Starting lineup",C6,I6="Substitution - In",C6),"")</f>
        <v>6.9444444444444397E-3</v>
      </c>
      <c r="AC6" s="46" t="str" cm="1">
        <f t="array" ref="AC6">IFERROR(_xlfn.IFS(I6="Finishing lineup",C6,I6="Substitution - Out",C6),"")</f>
        <v/>
      </c>
      <c r="AD6" s="46" t="str" cm="1">
        <f t="array" ref="AD6">IF(AC6&lt;&gt;"",LOOKUP(2,1/((G$2:G5=G6)*(AB$2:AB5&lt;&gt;"")),AB$2:AB5)-AC6,"")</f>
        <v/>
      </c>
      <c r="AE6" s="50" t="str" cm="1">
        <f t="array" ref="AE6">IF(AC6&lt;&gt;"",LOOKUP(2,1/((G$2:G5=G6)*(AB$2:AB5&lt;&gt;"")),AB$2:AB5)-AC6,"")</f>
        <v/>
      </c>
    </row>
    <row r="7" spans="1:32" hidden="1" x14ac:dyDescent="0.35">
      <c r="A7" s="16">
        <v>1</v>
      </c>
      <c r="B7" s="16">
        <v>6</v>
      </c>
      <c r="C7" s="46">
        <v>6.9444444444444397E-3</v>
      </c>
      <c r="D7" s="16">
        <f t="shared" si="0"/>
        <v>10</v>
      </c>
      <c r="E7" s="16">
        <f t="shared" si="1"/>
        <v>0</v>
      </c>
      <c r="F7" s="16" t="s">
        <v>46</v>
      </c>
      <c r="G7" s="16" t="s">
        <v>7</v>
      </c>
      <c r="H7" s="16" t="str">
        <f>_xlfn.XLOOKUP(G7,'1-Players'!$A$2:$A$27,'1-Players'!$D$2:$D$27,"")</f>
        <v>Álex Reyes</v>
      </c>
      <c r="I7" s="16" t="s">
        <v>81</v>
      </c>
      <c r="K7" s="16" t="str" cm="1">
        <f t="array" ref="K7">IFERROR(_xlfn.IFS(I7="Free Throw",1,I7="2-Point Shot",2,I7="Dunk",2,I7="3-Point Shot",3),"")</f>
        <v/>
      </c>
      <c r="L7" s="16" t="str" cm="1">
        <f t="array" ref="L7">IFERROR(_xlfn.IFS(J7="Made",1,J7="Missed",0),"")</f>
        <v/>
      </c>
      <c r="M7" s="16" t="str">
        <f t="shared" si="2"/>
        <v/>
      </c>
      <c r="R7" s="16" t="str">
        <f t="shared" si="3"/>
        <v/>
      </c>
      <c r="S7" s="16" t="str" cm="1">
        <f t="array" ref="S7">IFERROR(_xlfn.IFS(I7="Offensive Rebound",1),"")</f>
        <v/>
      </c>
      <c r="T7" s="16" t="str" cm="1">
        <f t="array" ref="T7">IFERROR(_xlfn.IFS(I7="Defensive Rebound",1),"")</f>
        <v/>
      </c>
      <c r="U7" s="16" t="str" cm="1">
        <f t="array" ref="U7">IFERROR(_xlfn.IFS(I7="Assist",1),"")</f>
        <v/>
      </c>
      <c r="V7" s="16" t="str" cm="1">
        <f t="array" ref="V7">IFERROR(_xlfn.IFS(I7="Turnover",1),"")</f>
        <v/>
      </c>
      <c r="W7" s="16" t="str" cm="1">
        <f t="array" ref="W7">IFERROR(_xlfn.IFS(I7="Steal",1),"")</f>
        <v/>
      </c>
      <c r="X7" s="16" t="str" cm="1">
        <f t="array" ref="X7">IFERROR(_xlfn.IFS(I7="Block",1),"")</f>
        <v/>
      </c>
      <c r="Y7" s="16" t="str" cm="1">
        <f t="array" ref="Y7">IFERROR(_xlfn.IFS(I7="Block Received",1),"")</f>
        <v/>
      </c>
      <c r="Z7" s="16" t="str" cm="1">
        <f t="array" ref="Z7">IFERROR(_xlfn.IFS(I7="Foul",1,I7="Foul Technical",1,I7="Offensive Foul",1),"")</f>
        <v/>
      </c>
      <c r="AA7" s="16" t="str" cm="1">
        <f t="array" ref="AA7">IFERROR(_xlfn.IFS(I7="Foul Received",1),"")</f>
        <v/>
      </c>
      <c r="AB7" s="49" cm="1">
        <f t="array" ref="AB7">IFERROR(_xlfn.IFS(I7="Starting lineup",C7,I7="Substitution - In",C7),"")</f>
        <v>6.9444444444444397E-3</v>
      </c>
      <c r="AC7" s="46" t="str" cm="1">
        <f t="array" ref="AC7">IFERROR(_xlfn.IFS(I7="Finishing lineup",C7,I7="Substitution - Out",C7),"")</f>
        <v/>
      </c>
      <c r="AD7" s="46" t="str" cm="1">
        <f t="array" ref="AD7">IF(AC7&lt;&gt;"",LOOKUP(2,1/((G$2:G6=G7)*(AB$2:AB6&lt;&gt;"")),AB$2:AB6)-AC7,"")</f>
        <v/>
      </c>
      <c r="AE7" s="50" t="str" cm="1">
        <f t="array" ref="AE7">IF(AC7&lt;&gt;"",LOOKUP(2,1/((G$2:G6=G7)*(AB$2:AB6&lt;&gt;"")),AB$2:AB6)-AC7,"")</f>
        <v/>
      </c>
    </row>
    <row r="8" spans="1:32" hidden="1" x14ac:dyDescent="0.35">
      <c r="A8" s="16">
        <v>1</v>
      </c>
      <c r="B8" s="16">
        <v>7</v>
      </c>
      <c r="C8" s="46">
        <v>6.9444444444444397E-3</v>
      </c>
      <c r="D8" s="16">
        <f t="shared" si="0"/>
        <v>10</v>
      </c>
      <c r="E8" s="16">
        <f t="shared" si="1"/>
        <v>0</v>
      </c>
      <c r="F8" s="16" t="s">
        <v>46</v>
      </c>
      <c r="G8" s="16" t="s">
        <v>35</v>
      </c>
      <c r="H8" s="16" t="str">
        <f>_xlfn.XLOOKUP(G8,'1-Players'!$A$2:$A$27,'1-Players'!$D$2:$D$27,"")</f>
        <v>Grant Golden</v>
      </c>
      <c r="I8" s="16" t="s">
        <v>81</v>
      </c>
      <c r="K8" s="16" t="str" cm="1">
        <f t="array" ref="K8">IFERROR(_xlfn.IFS(I8="Free Throw",1,I8="2-Point Shot",2,I8="Dunk",2,I8="3-Point Shot",3),"")</f>
        <v/>
      </c>
      <c r="L8" s="16" t="str" cm="1">
        <f t="array" ref="L8">IFERROR(_xlfn.IFS(J8="Made",1,J8="Missed",0),"")</f>
        <v/>
      </c>
      <c r="M8" s="16" t="str">
        <f t="shared" si="2"/>
        <v/>
      </c>
      <c r="R8" s="16" t="str">
        <f t="shared" si="3"/>
        <v/>
      </c>
      <c r="S8" s="16" t="str" cm="1">
        <f t="array" ref="S8">IFERROR(_xlfn.IFS(I8="Offensive Rebound",1),"")</f>
        <v/>
      </c>
      <c r="T8" s="16" t="str" cm="1">
        <f t="array" ref="T8">IFERROR(_xlfn.IFS(I8="Defensive Rebound",1),"")</f>
        <v/>
      </c>
      <c r="U8" s="16" t="str" cm="1">
        <f t="array" ref="U8">IFERROR(_xlfn.IFS(I8="Assist",1),"")</f>
        <v/>
      </c>
      <c r="V8" s="16" t="str" cm="1">
        <f t="array" ref="V8">IFERROR(_xlfn.IFS(I8="Turnover",1),"")</f>
        <v/>
      </c>
      <c r="W8" s="16" t="str" cm="1">
        <f t="array" ref="W8">IFERROR(_xlfn.IFS(I8="Steal",1),"")</f>
        <v/>
      </c>
      <c r="X8" s="16" t="str" cm="1">
        <f t="array" ref="X8">IFERROR(_xlfn.IFS(I8="Block",1),"")</f>
        <v/>
      </c>
      <c r="Y8" s="16" t="str" cm="1">
        <f t="array" ref="Y8">IFERROR(_xlfn.IFS(I8="Block Received",1),"")</f>
        <v/>
      </c>
      <c r="Z8" s="16" t="str" cm="1">
        <f t="array" ref="Z8">IFERROR(_xlfn.IFS(I8="Foul",1,I8="Foul Technical",1,I8="Offensive Foul",1),"")</f>
        <v/>
      </c>
      <c r="AA8" s="16" t="str" cm="1">
        <f t="array" ref="AA8">IFERROR(_xlfn.IFS(I8="Foul Received",1),"")</f>
        <v/>
      </c>
      <c r="AB8" s="49" cm="1">
        <f t="array" ref="AB8">IFERROR(_xlfn.IFS(I8="Starting lineup",C8,I8="Substitution - In",C8),"")</f>
        <v>6.9444444444444397E-3</v>
      </c>
      <c r="AC8" s="46" t="str" cm="1">
        <f t="array" ref="AC8">IFERROR(_xlfn.IFS(I8="Finishing lineup",C8,I8="Substitution - Out",C8),"")</f>
        <v/>
      </c>
      <c r="AD8" s="46" t="str" cm="1">
        <f t="array" ref="AD8">IF(AC8&lt;&gt;"",LOOKUP(2,1/((G$2:G7=G8)*(AB$2:AB7&lt;&gt;"")),AB$2:AB7)-AC8,"")</f>
        <v/>
      </c>
      <c r="AE8" s="50" t="str" cm="1">
        <f t="array" ref="AE8">IF(AC8&lt;&gt;"",LOOKUP(2,1/((G$2:G7=G8)*(AB$2:AB7&lt;&gt;"")),AB$2:AB7)-AC8,"")</f>
        <v/>
      </c>
    </row>
    <row r="9" spans="1:32" hidden="1" x14ac:dyDescent="0.35">
      <c r="A9" s="16">
        <v>1</v>
      </c>
      <c r="B9" s="16">
        <v>8</v>
      </c>
      <c r="C9" s="46">
        <v>6.9444444444444397E-3</v>
      </c>
      <c r="D9" s="16">
        <f t="shared" si="0"/>
        <v>10</v>
      </c>
      <c r="E9" s="16">
        <f t="shared" si="1"/>
        <v>0</v>
      </c>
      <c r="F9" s="16" t="s">
        <v>46</v>
      </c>
      <c r="G9" s="16" t="s">
        <v>73</v>
      </c>
      <c r="H9" s="16" t="str">
        <f>_xlfn.XLOOKUP(G9,'1-Players'!$A$2:$A$27,'1-Players'!$D$2:$D$27,"")</f>
        <v>Hugo Benítez</v>
      </c>
      <c r="I9" s="16" t="s">
        <v>81</v>
      </c>
      <c r="K9" s="16" t="str" cm="1">
        <f t="array" ref="K9">IFERROR(_xlfn.IFS(I9="Free Throw",1,I9="2-Point Shot",2,I9="Dunk",2,I9="3-Point Shot",3),"")</f>
        <v/>
      </c>
      <c r="L9" s="16" t="str" cm="1">
        <f t="array" ref="L9">IFERROR(_xlfn.IFS(J9="Made",1,J9="Missed",0),"")</f>
        <v/>
      </c>
      <c r="M9" s="16" t="str">
        <f t="shared" si="2"/>
        <v/>
      </c>
      <c r="R9" s="16" t="str">
        <f t="shared" si="3"/>
        <v/>
      </c>
      <c r="S9" s="16" t="str" cm="1">
        <f t="array" ref="S9">IFERROR(_xlfn.IFS(I9="Offensive Rebound",1),"")</f>
        <v/>
      </c>
      <c r="T9" s="16" t="str" cm="1">
        <f t="array" ref="T9">IFERROR(_xlfn.IFS(I9="Defensive Rebound",1),"")</f>
        <v/>
      </c>
      <c r="U9" s="16" t="str" cm="1">
        <f t="array" ref="U9">IFERROR(_xlfn.IFS(I9="Assist",1),"")</f>
        <v/>
      </c>
      <c r="V9" s="16" t="str" cm="1">
        <f t="array" ref="V9">IFERROR(_xlfn.IFS(I9="Turnover",1),"")</f>
        <v/>
      </c>
      <c r="W9" s="16" t="str" cm="1">
        <f t="array" ref="W9">IFERROR(_xlfn.IFS(I9="Steal",1),"")</f>
        <v/>
      </c>
      <c r="X9" s="16" t="str" cm="1">
        <f t="array" ref="X9">IFERROR(_xlfn.IFS(I9="Block",1),"")</f>
        <v/>
      </c>
      <c r="Y9" s="16" t="str" cm="1">
        <f t="array" ref="Y9">IFERROR(_xlfn.IFS(I9="Block Received",1),"")</f>
        <v/>
      </c>
      <c r="Z9" s="16" t="str" cm="1">
        <f t="array" ref="Z9">IFERROR(_xlfn.IFS(I9="Foul",1,I9="Foul Technical",1,I9="Offensive Foul",1),"")</f>
        <v/>
      </c>
      <c r="AA9" s="16" t="str" cm="1">
        <f t="array" ref="AA9">IFERROR(_xlfn.IFS(I9="Foul Received",1),"")</f>
        <v/>
      </c>
      <c r="AB9" s="49" cm="1">
        <f t="array" ref="AB9">IFERROR(_xlfn.IFS(I9="Starting lineup",C9,I9="Substitution - In",C9),"")</f>
        <v>6.9444444444444397E-3</v>
      </c>
      <c r="AC9" s="46" t="str" cm="1">
        <f t="array" ref="AC9">IFERROR(_xlfn.IFS(I9="Finishing lineup",C9,I9="Substitution - Out",C9),"")</f>
        <v/>
      </c>
      <c r="AD9" s="46" t="str" cm="1">
        <f t="array" ref="AD9">IF(AC9&lt;&gt;"",LOOKUP(2,1/((G$2:G8=G9)*(AB$2:AB8&lt;&gt;"")),AB$2:AB8)-AC9,"")</f>
        <v/>
      </c>
      <c r="AE9" s="50" t="str" cm="1">
        <f t="array" ref="AE9">IF(AC9&lt;&gt;"",LOOKUP(2,1/((G$2:G8=G9)*(AB$2:AB8&lt;&gt;"")),AB$2:AB8)-AC9,"")</f>
        <v/>
      </c>
    </row>
    <row r="10" spans="1:32" hidden="1" x14ac:dyDescent="0.35">
      <c r="A10" s="16">
        <v>1</v>
      </c>
      <c r="B10" s="16">
        <v>9</v>
      </c>
      <c r="C10" s="46">
        <v>6.9444444444444397E-3</v>
      </c>
      <c r="D10" s="16">
        <f t="shared" si="0"/>
        <v>10</v>
      </c>
      <c r="E10" s="16">
        <f t="shared" si="1"/>
        <v>0</v>
      </c>
      <c r="F10" s="16" t="s">
        <v>46</v>
      </c>
      <c r="G10" s="16" t="s">
        <v>13</v>
      </c>
      <c r="H10" s="16" t="str">
        <f>_xlfn.XLOOKUP(G10,'1-Players'!$A$2:$A$27,'1-Players'!$D$2:$D$27,"")</f>
        <v>Retin Obasohan</v>
      </c>
      <c r="I10" s="16" t="s">
        <v>81</v>
      </c>
      <c r="K10" s="16" t="str" cm="1">
        <f t="array" ref="K10">IFERROR(_xlfn.IFS(I10="Free Throw",1,I10="2-Point Shot",2,I10="Dunk",2,I10="3-Point Shot",3),"")</f>
        <v/>
      </c>
      <c r="L10" s="16" t="str" cm="1">
        <f t="array" ref="L10">IFERROR(_xlfn.IFS(J10="Made",1,J10="Missed",0),"")</f>
        <v/>
      </c>
      <c r="M10" s="16" t="str">
        <f t="shared" si="2"/>
        <v/>
      </c>
      <c r="R10" s="16" t="str">
        <f t="shared" si="3"/>
        <v/>
      </c>
      <c r="S10" s="16" t="str" cm="1">
        <f t="array" ref="S10">IFERROR(_xlfn.IFS(I10="Offensive Rebound",1),"")</f>
        <v/>
      </c>
      <c r="T10" s="16" t="str" cm="1">
        <f t="array" ref="T10">IFERROR(_xlfn.IFS(I10="Defensive Rebound",1),"")</f>
        <v/>
      </c>
      <c r="U10" s="16" t="str" cm="1">
        <f t="array" ref="U10">IFERROR(_xlfn.IFS(I10="Assist",1),"")</f>
        <v/>
      </c>
      <c r="V10" s="16" t="str" cm="1">
        <f t="array" ref="V10">IFERROR(_xlfn.IFS(I10="Turnover",1),"")</f>
        <v/>
      </c>
      <c r="W10" s="16" t="str" cm="1">
        <f t="array" ref="W10">IFERROR(_xlfn.IFS(I10="Steal",1),"")</f>
        <v/>
      </c>
      <c r="X10" s="16" t="str" cm="1">
        <f t="array" ref="X10">IFERROR(_xlfn.IFS(I10="Block",1),"")</f>
        <v/>
      </c>
      <c r="Y10" s="16" t="str" cm="1">
        <f t="array" ref="Y10">IFERROR(_xlfn.IFS(I10="Block Received",1),"")</f>
        <v/>
      </c>
      <c r="Z10" s="16" t="str" cm="1">
        <f t="array" ref="Z10">IFERROR(_xlfn.IFS(I10="Foul",1,I10="Foul Technical",1,I10="Offensive Foul",1),"")</f>
        <v/>
      </c>
      <c r="AA10" s="16" t="str" cm="1">
        <f t="array" ref="AA10">IFERROR(_xlfn.IFS(I10="Foul Received",1),"")</f>
        <v/>
      </c>
      <c r="AB10" s="49" cm="1">
        <f t="array" ref="AB10">IFERROR(_xlfn.IFS(I10="Starting lineup",C10,I10="Substitution - In",C10),"")</f>
        <v>6.9444444444444397E-3</v>
      </c>
      <c r="AC10" s="46" t="str" cm="1">
        <f t="array" ref="AC10">IFERROR(_xlfn.IFS(I10="Finishing lineup",C10,I10="Substitution - Out",C10),"")</f>
        <v/>
      </c>
      <c r="AD10" s="46" t="str" cm="1">
        <f t="array" ref="AD10">IF(AC10&lt;&gt;"",LOOKUP(2,1/((G$2:G9=G10)*(AB$2:AB9&lt;&gt;"")),AB$2:AB9)-AC10,"")</f>
        <v/>
      </c>
      <c r="AE10" s="50" t="str" cm="1">
        <f t="array" ref="AE10">IF(AC10&lt;&gt;"",LOOKUP(2,1/((G$2:G9=G10)*(AB$2:AB9&lt;&gt;"")),AB$2:AB9)-AC10,"")</f>
        <v/>
      </c>
    </row>
    <row r="11" spans="1:32" hidden="1" x14ac:dyDescent="0.35">
      <c r="A11" s="16">
        <v>1</v>
      </c>
      <c r="B11" s="16">
        <v>10</v>
      </c>
      <c r="C11" s="46">
        <v>6.9444444444444397E-3</v>
      </c>
      <c r="D11" s="16">
        <f t="shared" si="0"/>
        <v>10</v>
      </c>
      <c r="E11" s="16">
        <f t="shared" si="1"/>
        <v>0</v>
      </c>
      <c r="F11" s="16" t="s">
        <v>46</v>
      </c>
      <c r="G11" s="16" t="s">
        <v>11</v>
      </c>
      <c r="H11" s="16" t="str">
        <f>_xlfn.XLOOKUP(G11,'1-Players'!$A$2:$A$27,'1-Players'!$D$2:$D$27,"")</f>
        <v>Marcis Steinbergs</v>
      </c>
      <c r="I11" s="16" t="s">
        <v>81</v>
      </c>
      <c r="K11" s="16" t="str" cm="1">
        <f t="array" ref="K11">IFERROR(_xlfn.IFS(I11="Free Throw",1,I11="2-Point Shot",2,I11="Dunk",2,I11="3-Point Shot",3),"")</f>
        <v/>
      </c>
      <c r="L11" s="16" t="str" cm="1">
        <f t="array" ref="L11">IFERROR(_xlfn.IFS(J11="Made",1,J11="Missed",0),"")</f>
        <v/>
      </c>
      <c r="M11" s="16" t="str">
        <f t="shared" si="2"/>
        <v/>
      </c>
      <c r="R11" s="16" t="str">
        <f t="shared" si="3"/>
        <v/>
      </c>
      <c r="S11" s="16" t="str" cm="1">
        <f t="array" ref="S11">IFERROR(_xlfn.IFS(I11="Offensive Rebound",1),"")</f>
        <v/>
      </c>
      <c r="T11" s="16" t="str" cm="1">
        <f t="array" ref="T11">IFERROR(_xlfn.IFS(I11="Defensive Rebound",1),"")</f>
        <v/>
      </c>
      <c r="U11" s="16" t="str" cm="1">
        <f t="array" ref="U11">IFERROR(_xlfn.IFS(I11="Assist",1),"")</f>
        <v/>
      </c>
      <c r="V11" s="16" t="str" cm="1">
        <f t="array" ref="V11">IFERROR(_xlfn.IFS(I11="Turnover",1),"")</f>
        <v/>
      </c>
      <c r="W11" s="16" t="str" cm="1">
        <f t="array" ref="W11">IFERROR(_xlfn.IFS(I11="Steal",1),"")</f>
        <v/>
      </c>
      <c r="X11" s="16" t="str" cm="1">
        <f t="array" ref="X11">IFERROR(_xlfn.IFS(I11="Block",1),"")</f>
        <v/>
      </c>
      <c r="Y11" s="16" t="str" cm="1">
        <f t="array" ref="Y11">IFERROR(_xlfn.IFS(I11="Block Received",1),"")</f>
        <v/>
      </c>
      <c r="Z11" s="16" t="str" cm="1">
        <f t="array" ref="Z11">IFERROR(_xlfn.IFS(I11="Foul",1,I11="Foul Technical",1,I11="Offensive Foul",1),"")</f>
        <v/>
      </c>
      <c r="AA11" s="16" t="str" cm="1">
        <f t="array" ref="AA11">IFERROR(_xlfn.IFS(I11="Foul Received",1),"")</f>
        <v/>
      </c>
      <c r="AB11" s="49" cm="1">
        <f t="array" ref="AB11">IFERROR(_xlfn.IFS(I11="Starting lineup",C11,I11="Substitution - In",C11),"")</f>
        <v>6.9444444444444397E-3</v>
      </c>
      <c r="AC11" s="46" t="str" cm="1">
        <f t="array" ref="AC11">IFERROR(_xlfn.IFS(I11="Finishing lineup",C11,I11="Substitution - Out",C11),"")</f>
        <v/>
      </c>
      <c r="AD11" s="46" t="str" cm="1">
        <f t="array" ref="AD11">IF(AC11&lt;&gt;"",LOOKUP(2,1/((G$2:G10=G11)*(AB$2:AB10&lt;&gt;"")),AB$2:AB10)-AC11,"")</f>
        <v/>
      </c>
      <c r="AE11" s="50" t="str" cm="1">
        <f t="array" ref="AE11">IF(AC11&lt;&gt;"",LOOKUP(2,1/((G$2:G10=G11)*(AB$2:AB10&lt;&gt;"")),AB$2:AB10)-AC11,"")</f>
        <v/>
      </c>
    </row>
    <row r="12" spans="1:32" hidden="1" x14ac:dyDescent="0.35">
      <c r="A12" s="16">
        <v>1</v>
      </c>
      <c r="B12" s="16">
        <v>11</v>
      </c>
      <c r="C12" s="46">
        <v>6.9444444444444397E-3</v>
      </c>
      <c r="D12" s="16">
        <f t="shared" si="0"/>
        <v>10</v>
      </c>
      <c r="E12" s="16">
        <f t="shared" si="1"/>
        <v>0</v>
      </c>
      <c r="F12" s="16" t="s">
        <v>46</v>
      </c>
      <c r="G12" s="16" t="s">
        <v>35</v>
      </c>
      <c r="H12" s="16" t="str">
        <f>_xlfn.XLOOKUP(G12,'1-Players'!$A$2:$A$27,'1-Players'!$D$2:$D$27,"")</f>
        <v>Grant Golden</v>
      </c>
      <c r="I12" s="16" t="s">
        <v>103</v>
      </c>
      <c r="K12" s="16" t="str" cm="1">
        <f t="array" ref="K12">IFERROR(_xlfn.IFS(I12="Free Throw",1,I12="2-Point Shot",2,I12="Dunk",2,I12="3-Point Shot",3),"")</f>
        <v/>
      </c>
      <c r="L12" s="16" t="str" cm="1">
        <f t="array" ref="L12">IFERROR(_xlfn.IFS(J12="Made",1,J12="Missed",0),"")</f>
        <v/>
      </c>
      <c r="M12" s="16" t="str">
        <f t="shared" si="2"/>
        <v/>
      </c>
      <c r="R12" s="16" t="str">
        <f t="shared" si="3"/>
        <v/>
      </c>
      <c r="S12" s="16" t="str" cm="1">
        <f t="array" ref="S12">IFERROR(_xlfn.IFS(I12="Offensive Rebound",1),"")</f>
        <v/>
      </c>
      <c r="T12" s="16" t="str" cm="1">
        <f t="array" ref="T12">IFERROR(_xlfn.IFS(I12="Defensive Rebound",1),"")</f>
        <v/>
      </c>
      <c r="U12" s="16" t="str" cm="1">
        <f t="array" ref="U12">IFERROR(_xlfn.IFS(I12="Assist",1),"")</f>
        <v/>
      </c>
      <c r="V12" s="16" t="str" cm="1">
        <f t="array" ref="V12">IFERROR(_xlfn.IFS(I12="Turnover",1),"")</f>
        <v/>
      </c>
      <c r="W12" s="16" t="str" cm="1">
        <f t="array" ref="W12">IFERROR(_xlfn.IFS(I12="Steal",1),"")</f>
        <v/>
      </c>
      <c r="X12" s="16" t="str" cm="1">
        <f t="array" ref="X12">IFERROR(_xlfn.IFS(I12="Block",1),"")</f>
        <v/>
      </c>
      <c r="Y12" s="16" t="str" cm="1">
        <f t="array" ref="Y12">IFERROR(_xlfn.IFS(I12="Block Received",1),"")</f>
        <v/>
      </c>
      <c r="Z12" s="16" t="str" cm="1">
        <f t="array" ref="Z12">IFERROR(_xlfn.IFS(I12="Foul",1,I12="Foul Technical",1,I12="Offensive Foul",1),"")</f>
        <v/>
      </c>
      <c r="AA12" s="16" t="str" cm="1">
        <f t="array" ref="AA12">IFERROR(_xlfn.IFS(I12="Foul Received",1),"")</f>
        <v/>
      </c>
      <c r="AB12" s="49" t="str" cm="1">
        <f t="array" ref="AB12">IFERROR(_xlfn.IFS(I12="Starting lineup",C12,I12="Substitution - In",C12),"")</f>
        <v/>
      </c>
      <c r="AC12" s="46" t="str" cm="1">
        <f t="array" ref="AC12">IFERROR(_xlfn.IFS(I12="Finishing lineup",C12,I12="Substitution - Out",C12),"")</f>
        <v/>
      </c>
      <c r="AD12" s="46" t="str" cm="1">
        <f t="array" ref="AD12">IF(AC12&lt;&gt;"",LOOKUP(2,1/((G$2:G11=G12)*(AB$2:AB11&lt;&gt;"")),AB$2:AB11)-AC12,"")</f>
        <v/>
      </c>
      <c r="AE12" s="50" t="str" cm="1">
        <f t="array" ref="AE12">IF(AC12&lt;&gt;"",LOOKUP(2,1/((G$2:G11=G12)*(AB$2:AB11&lt;&gt;"")),AB$2:AB11)-AC12,"")</f>
        <v/>
      </c>
    </row>
    <row r="13" spans="1:32" hidden="1" x14ac:dyDescent="0.35">
      <c r="A13" s="16">
        <v>1</v>
      </c>
      <c r="B13" s="16">
        <v>12</v>
      </c>
      <c r="C13" s="46">
        <v>6.9444444444444397E-3</v>
      </c>
      <c r="D13" s="16">
        <f t="shared" si="0"/>
        <v>10</v>
      </c>
      <c r="E13" s="16">
        <f t="shared" si="1"/>
        <v>0</v>
      </c>
      <c r="F13" s="16" t="s">
        <v>16</v>
      </c>
      <c r="G13" s="16" t="s">
        <v>25</v>
      </c>
      <c r="H13" s="16" t="str">
        <f>_xlfn.XLOOKUP(G13,'1-Players'!$A$2:$A$27,'1-Players'!$D$2:$D$27,"")</f>
        <v>Atoumane Diagne</v>
      </c>
      <c r="I13" s="16" t="s">
        <v>104</v>
      </c>
      <c r="K13" s="16" t="str" cm="1">
        <f t="array" ref="K13">IFERROR(_xlfn.IFS(I13="Free Throw",1,I13="2-Point Shot",2,I13="Dunk",2,I13="3-Point Shot",3),"")</f>
        <v/>
      </c>
      <c r="L13" s="16" t="str" cm="1">
        <f t="array" ref="L13">IFERROR(_xlfn.IFS(J13="Made",1,J13="Missed",0),"")</f>
        <v/>
      </c>
      <c r="M13" s="16" t="str">
        <f t="shared" si="2"/>
        <v/>
      </c>
      <c r="R13" s="16" t="str">
        <f t="shared" si="3"/>
        <v/>
      </c>
      <c r="S13" s="16" t="str" cm="1">
        <f t="array" ref="S13">IFERROR(_xlfn.IFS(I13="Offensive Rebound",1),"")</f>
        <v/>
      </c>
      <c r="T13" s="16" t="str" cm="1">
        <f t="array" ref="T13">IFERROR(_xlfn.IFS(I13="Defensive Rebound",1),"")</f>
        <v/>
      </c>
      <c r="U13" s="16" t="str" cm="1">
        <f t="array" ref="U13">IFERROR(_xlfn.IFS(I13="Assist",1),"")</f>
        <v/>
      </c>
      <c r="V13" s="16" t="str" cm="1">
        <f t="array" ref="V13">IFERROR(_xlfn.IFS(I13="Turnover",1),"")</f>
        <v/>
      </c>
      <c r="W13" s="16" t="str" cm="1">
        <f t="array" ref="W13">IFERROR(_xlfn.IFS(I13="Steal",1),"")</f>
        <v/>
      </c>
      <c r="X13" s="16" t="str" cm="1">
        <f t="array" ref="X13">IFERROR(_xlfn.IFS(I13="Block",1),"")</f>
        <v/>
      </c>
      <c r="Y13" s="16" t="str" cm="1">
        <f t="array" ref="Y13">IFERROR(_xlfn.IFS(I13="Block Received",1),"")</f>
        <v/>
      </c>
      <c r="Z13" s="16" t="str" cm="1">
        <f t="array" ref="Z13">IFERROR(_xlfn.IFS(I13="Foul",1,I13="Foul Technical",1,I13="Offensive Foul",1),"")</f>
        <v/>
      </c>
      <c r="AA13" s="16" t="str" cm="1">
        <f t="array" ref="AA13">IFERROR(_xlfn.IFS(I13="Foul Received",1),"")</f>
        <v/>
      </c>
      <c r="AB13" s="49" t="str" cm="1">
        <f t="array" ref="AB13">IFERROR(_xlfn.IFS(I13="Starting lineup",C13,I13="Substitution - In",C13),"")</f>
        <v/>
      </c>
      <c r="AC13" s="46" t="str" cm="1">
        <f t="array" ref="AC13">IFERROR(_xlfn.IFS(I13="Finishing lineup",C13,I13="Substitution - Out",C13),"")</f>
        <v/>
      </c>
      <c r="AD13" s="46" t="str" cm="1">
        <f t="array" ref="AD13">IF(AC13&lt;&gt;"",LOOKUP(2,1/((G$2:G12=G13)*(AB$2:AB12&lt;&gt;"")),AB$2:AB12)-AC13,"")</f>
        <v/>
      </c>
      <c r="AE13" s="50" t="str" cm="1">
        <f t="array" ref="AE13">IF(AC13&lt;&gt;"",LOOKUP(2,1/((G$2:G12=G13)*(AB$2:AB12&lt;&gt;"")),AB$2:AB12)-AC13,"")</f>
        <v/>
      </c>
    </row>
    <row r="14" spans="1:32" hidden="1" x14ac:dyDescent="0.35">
      <c r="A14" s="16">
        <v>1</v>
      </c>
      <c r="B14" s="16">
        <v>13</v>
      </c>
      <c r="C14" s="46">
        <v>6.7129629629629631E-3</v>
      </c>
      <c r="D14" s="16">
        <f t="shared" si="0"/>
        <v>9</v>
      </c>
      <c r="E14" s="16">
        <f t="shared" si="1"/>
        <v>40</v>
      </c>
      <c r="F14" s="16" t="s">
        <v>46</v>
      </c>
      <c r="G14" s="16" t="s">
        <v>13</v>
      </c>
      <c r="H14" s="16" t="str">
        <f>_xlfn.XLOOKUP(G14,'1-Players'!$A$2:$A$27,'1-Players'!$D$2:$D$27,"")</f>
        <v>Retin Obasohan</v>
      </c>
      <c r="I14" s="16" t="s">
        <v>82</v>
      </c>
      <c r="J14" s="16" t="s">
        <v>60</v>
      </c>
      <c r="K14" s="16" cm="1">
        <f t="array" ref="K14">IFERROR(_xlfn.IFS(I14="Free Throw",1,I14="2-Point Shot",2,I14="Dunk",2,I14="3-Point Shot",3),"")</f>
        <v>2</v>
      </c>
      <c r="L14" s="16" cm="1">
        <f t="array" ref="L14">IFERROR(_xlfn.IFS(J14="Made",1,J14="Missed",0),"")</f>
        <v>1</v>
      </c>
      <c r="M14" s="16">
        <f t="shared" si="2"/>
        <v>2</v>
      </c>
      <c r="N14" s="16" t="s">
        <v>174</v>
      </c>
      <c r="O14" s="16" t="s">
        <v>189</v>
      </c>
      <c r="P14" s="16">
        <v>5</v>
      </c>
      <c r="Q14" s="16" t="s">
        <v>102</v>
      </c>
      <c r="R14" s="16" t="str">
        <f>IF(J14&lt;&gt;"Made","",IF(I15="Assist","S","N"))</f>
        <v>N</v>
      </c>
      <c r="S14" s="16" t="str" cm="1">
        <f t="array" ref="S14">IFERROR(_xlfn.IFS(I14="Offensive Rebound",1),"")</f>
        <v/>
      </c>
      <c r="T14" s="16" t="str" cm="1">
        <f t="array" ref="T14">IFERROR(_xlfn.IFS(I14="Defensive Rebound",1),"")</f>
        <v/>
      </c>
      <c r="U14" s="16" t="str" cm="1">
        <f t="array" ref="U14">IFERROR(_xlfn.IFS(I14="Assist",1),"")</f>
        <v/>
      </c>
      <c r="V14" s="16" t="str" cm="1">
        <f t="array" ref="V14">IFERROR(_xlfn.IFS(I14="Turnover",1),"")</f>
        <v/>
      </c>
      <c r="W14" s="16" t="str" cm="1">
        <f t="array" ref="W14">IFERROR(_xlfn.IFS(I14="Steal",1),"")</f>
        <v/>
      </c>
      <c r="X14" s="16" t="str" cm="1">
        <f t="array" ref="X14">IFERROR(_xlfn.IFS(I14="Block",1),"")</f>
        <v/>
      </c>
      <c r="Y14" s="16" t="str" cm="1">
        <f t="array" ref="Y14">IFERROR(_xlfn.IFS(I14="Block Received",1),"")</f>
        <v/>
      </c>
      <c r="Z14" s="16" t="str" cm="1">
        <f t="array" ref="Z14">IFERROR(_xlfn.IFS(I14="Foul",1,I14="Foul Technical",1,I14="Offensive Foul",1),"")</f>
        <v/>
      </c>
      <c r="AA14" s="16" t="str" cm="1">
        <f t="array" ref="AA14">IFERROR(_xlfn.IFS(I14="Foul Received",1),"")</f>
        <v/>
      </c>
      <c r="AB14" s="49" t="str" cm="1">
        <f t="array" ref="AB14">IFERROR(_xlfn.IFS(I14="Starting lineup",C14,I14="Substitution - In",C14),"")</f>
        <v/>
      </c>
      <c r="AC14" s="46" t="str" cm="1">
        <f t="array" ref="AC14">IFERROR(_xlfn.IFS(I14="Finishing lineup",C14,I14="Substitution - Out",C14),"")</f>
        <v/>
      </c>
      <c r="AD14" s="46" t="str" cm="1">
        <f t="array" ref="AD14">IF(AC14&lt;&gt;"",LOOKUP(2,1/((G$2:G13=G14)*(AB$2:AB13&lt;&gt;"")),AB$2:AB13)-AC14,"")</f>
        <v/>
      </c>
      <c r="AE14" s="50" t="str" cm="1">
        <f t="array" ref="AE14">IF(AC14&lt;&gt;"",LOOKUP(2,1/((G$2:G13=G14)*(AB$2:AB13&lt;&gt;"")),AB$2:AB13)-AC14,"")</f>
        <v/>
      </c>
    </row>
    <row r="15" spans="1:32" hidden="1" x14ac:dyDescent="0.35">
      <c r="A15" s="16">
        <v>1</v>
      </c>
      <c r="B15" s="16">
        <v>14</v>
      </c>
      <c r="C15" s="46">
        <v>6.4351851851851853E-3</v>
      </c>
      <c r="D15" s="16">
        <f t="shared" si="0"/>
        <v>9</v>
      </c>
      <c r="E15" s="16">
        <f t="shared" si="1"/>
        <v>16</v>
      </c>
      <c r="F15" s="16" t="s">
        <v>16</v>
      </c>
      <c r="G15" s="16" t="s">
        <v>25</v>
      </c>
      <c r="H15" s="16" t="str">
        <f>_xlfn.XLOOKUP(G15,'1-Players'!$A$2:$A$27,'1-Players'!$D$2:$D$27,"")</f>
        <v>Atoumane Diagne</v>
      </c>
      <c r="I15" s="16" t="s">
        <v>82</v>
      </c>
      <c r="J15" s="16" t="s">
        <v>60</v>
      </c>
      <c r="K15" s="16" cm="1">
        <f t="array" ref="K15">IFERROR(_xlfn.IFS(I15="Free Throw",1,I15="2-Point Shot",2,I15="Dunk",2,I15="3-Point Shot",3),"")</f>
        <v>2</v>
      </c>
      <c r="L15" s="16" cm="1">
        <f t="array" ref="L15">IFERROR(_xlfn.IFS(J15="Made",1,J15="Missed",0),"")</f>
        <v>1</v>
      </c>
      <c r="M15" s="16">
        <f t="shared" si="2"/>
        <v>2</v>
      </c>
      <c r="N15" s="16" t="s">
        <v>176</v>
      </c>
      <c r="O15" s="16" t="s">
        <v>175</v>
      </c>
      <c r="P15" s="16">
        <v>6</v>
      </c>
      <c r="Q15" s="16" t="s">
        <v>102</v>
      </c>
      <c r="R15" s="16" t="str">
        <f t="shared" si="3"/>
        <v>S</v>
      </c>
      <c r="S15" s="16" t="str" cm="1">
        <f t="array" ref="S15">IFERROR(_xlfn.IFS(I15="Offensive Rebound",1),"")</f>
        <v/>
      </c>
      <c r="T15" s="16" t="str" cm="1">
        <f t="array" ref="T15">IFERROR(_xlfn.IFS(I15="Defensive Rebound",1),"")</f>
        <v/>
      </c>
      <c r="U15" s="16" t="str" cm="1">
        <f t="array" ref="U15">IFERROR(_xlfn.IFS(I15="Assist",1),"")</f>
        <v/>
      </c>
      <c r="V15" s="16" t="str" cm="1">
        <f t="array" ref="V15">IFERROR(_xlfn.IFS(I15="Turnover",1),"")</f>
        <v/>
      </c>
      <c r="W15" s="16" t="str" cm="1">
        <f t="array" ref="W15">IFERROR(_xlfn.IFS(I15="Steal",1),"")</f>
        <v/>
      </c>
      <c r="X15" s="16" t="str" cm="1">
        <f t="array" ref="X15">IFERROR(_xlfn.IFS(I15="Block",1),"")</f>
        <v/>
      </c>
      <c r="Y15" s="16" t="str" cm="1">
        <f t="array" ref="Y15">IFERROR(_xlfn.IFS(I15="Block Received",1),"")</f>
        <v/>
      </c>
      <c r="Z15" s="16" t="str" cm="1">
        <f t="array" ref="Z15">IFERROR(_xlfn.IFS(I15="Foul",1,I15="Foul Technical",1,I15="Offensive Foul",1),"")</f>
        <v/>
      </c>
      <c r="AA15" s="16" t="str" cm="1">
        <f t="array" ref="AA15">IFERROR(_xlfn.IFS(I15="Foul Received",1),"")</f>
        <v/>
      </c>
      <c r="AB15" s="49" t="str" cm="1">
        <f t="array" ref="AB15">IFERROR(_xlfn.IFS(I15="Starting lineup",C15,I15="Substitution - In",C15),"")</f>
        <v/>
      </c>
      <c r="AC15" s="46" t="str" cm="1">
        <f t="array" ref="AC15">IFERROR(_xlfn.IFS(I15="Finishing lineup",C15,I15="Substitution - Out",C15),"")</f>
        <v/>
      </c>
      <c r="AD15" s="46" t="str" cm="1">
        <f t="array" ref="AD15">IF(AC15&lt;&gt;"",LOOKUP(2,1/((G$2:G14=G15)*(AB$2:AB14&lt;&gt;"")),AB$2:AB14)-AC15,"")</f>
        <v/>
      </c>
      <c r="AE15" s="50" t="str" cm="1">
        <f t="array" ref="AE15">IF(AC15&lt;&gt;"",LOOKUP(2,1/((G$2:G14=G15)*(AB$2:AB14&lt;&gt;"")),AB$2:AB14)-AC15,"")</f>
        <v/>
      </c>
    </row>
    <row r="16" spans="1:32" hidden="1" x14ac:dyDescent="0.35">
      <c r="A16" s="16">
        <v>1</v>
      </c>
      <c r="B16" s="16">
        <v>15</v>
      </c>
      <c r="C16" s="46">
        <v>6.4351851851851853E-3</v>
      </c>
      <c r="D16" s="16">
        <f t="shared" si="0"/>
        <v>9</v>
      </c>
      <c r="E16" s="16">
        <f t="shared" si="1"/>
        <v>16</v>
      </c>
      <c r="F16" s="16" t="s">
        <v>16</v>
      </c>
      <c r="G16" s="16" t="s">
        <v>15</v>
      </c>
      <c r="H16" s="16" t="str">
        <f>_xlfn.XLOOKUP(G16,'1-Players'!$A$2:$A$27,'1-Players'!$D$2:$D$27,"")</f>
        <v>James Batemon</v>
      </c>
      <c r="I16" s="16" t="s">
        <v>61</v>
      </c>
      <c r="K16" s="16" t="str" cm="1">
        <f t="array" ref="K16">IFERROR(_xlfn.IFS(I16="Free Throw",1,I16="2-Point Shot",2,I16="Dunk",2,I16="3-Point Shot",3),"")</f>
        <v/>
      </c>
      <c r="L16" s="16" t="str" cm="1">
        <f t="array" ref="L16">IFERROR(_xlfn.IFS(J16="Made",1,J16="Missed",0),"")</f>
        <v/>
      </c>
      <c r="M16" s="16" t="str">
        <f t="shared" si="2"/>
        <v/>
      </c>
      <c r="R16" s="16" t="str">
        <f t="shared" si="3"/>
        <v/>
      </c>
      <c r="S16" s="16" t="str" cm="1">
        <f t="array" ref="S16">IFERROR(_xlfn.IFS(I16="Offensive Rebound",1),"")</f>
        <v/>
      </c>
      <c r="T16" s="16" t="str" cm="1">
        <f t="array" ref="T16">IFERROR(_xlfn.IFS(I16="Defensive Rebound",1),"")</f>
        <v/>
      </c>
      <c r="U16" s="16" cm="1">
        <f t="array" ref="U16">IFERROR(_xlfn.IFS(I16="Assist",1),"")</f>
        <v>1</v>
      </c>
      <c r="V16" s="16" t="str" cm="1">
        <f t="array" ref="V16">IFERROR(_xlfn.IFS(I16="Turnover",1),"")</f>
        <v/>
      </c>
      <c r="W16" s="16" t="str" cm="1">
        <f t="array" ref="W16">IFERROR(_xlfn.IFS(I16="Steal",1),"")</f>
        <v/>
      </c>
      <c r="X16" s="16" t="str" cm="1">
        <f t="array" ref="X16">IFERROR(_xlfn.IFS(I16="Block",1),"")</f>
        <v/>
      </c>
      <c r="Y16" s="16" t="str" cm="1">
        <f t="array" ref="Y16">IFERROR(_xlfn.IFS(I16="Block Received",1),"")</f>
        <v/>
      </c>
      <c r="Z16" s="16" t="str" cm="1">
        <f t="array" ref="Z16">IFERROR(_xlfn.IFS(I16="Foul",1,I16="Foul Technical",1,I16="Offensive Foul",1),"")</f>
        <v/>
      </c>
      <c r="AA16" s="16" t="str" cm="1">
        <f t="array" ref="AA16">IFERROR(_xlfn.IFS(I16="Foul Received",1),"")</f>
        <v/>
      </c>
      <c r="AB16" s="49" t="str" cm="1">
        <f t="array" ref="AB16">IFERROR(_xlfn.IFS(I16="Starting lineup",C16,I16="Substitution - In",C16),"")</f>
        <v/>
      </c>
      <c r="AC16" s="46" t="str" cm="1">
        <f t="array" ref="AC16">IFERROR(_xlfn.IFS(I16="Finishing lineup",C16,I16="Substitution - Out",C16),"")</f>
        <v/>
      </c>
      <c r="AD16" s="46" t="str" cm="1">
        <f t="array" ref="AD16">IF(AC16&lt;&gt;"",LOOKUP(2,1/((G$2:G15=G16)*(AB$2:AB15&lt;&gt;"")),AB$2:AB15)-AC16,"")</f>
        <v/>
      </c>
      <c r="AE16" s="50" t="str" cm="1">
        <f t="array" ref="AE16">IF(AC16&lt;&gt;"",LOOKUP(2,1/((G$2:G15=G16)*(AB$2:AB15&lt;&gt;"")),AB$2:AB15)-AC16,"")</f>
        <v/>
      </c>
    </row>
    <row r="17" spans="1:31" hidden="1" x14ac:dyDescent="0.35">
      <c r="A17" s="19">
        <v>1</v>
      </c>
      <c r="B17" s="19">
        <v>16</v>
      </c>
      <c r="C17" s="47">
        <v>6.3310185185185188E-3</v>
      </c>
      <c r="D17" s="16">
        <f t="shared" si="0"/>
        <v>9</v>
      </c>
      <c r="E17" s="16">
        <f t="shared" si="1"/>
        <v>7</v>
      </c>
      <c r="F17" s="19" t="s">
        <v>46</v>
      </c>
      <c r="G17" s="19" t="s">
        <v>35</v>
      </c>
      <c r="H17" s="16" t="str">
        <f>_xlfn.XLOOKUP(G17,'1-Players'!$A$2:$A$27,'1-Players'!$D$2:$D$27,"")</f>
        <v>Grant Golden</v>
      </c>
      <c r="I17" s="19" t="s">
        <v>82</v>
      </c>
      <c r="J17" s="19" t="s">
        <v>60</v>
      </c>
      <c r="K17" s="16" cm="1">
        <f t="array" ref="K17">IFERROR(_xlfn.IFS(I17="Free Throw",1,I17="2-Point Shot",2,I17="Dunk",2,I17="3-Point Shot",3),"")</f>
        <v>2</v>
      </c>
      <c r="L17" s="16" cm="1">
        <f t="array" ref="L17">IFERROR(_xlfn.IFS(J17="Made",1,J17="Missed",0),"")</f>
        <v>1</v>
      </c>
      <c r="M17" s="16">
        <f t="shared" si="2"/>
        <v>2</v>
      </c>
      <c r="N17" s="16" t="s">
        <v>177</v>
      </c>
      <c r="O17" s="16" t="s">
        <v>178</v>
      </c>
      <c r="P17" s="16">
        <v>17</v>
      </c>
      <c r="Q17" s="16" t="s">
        <v>102</v>
      </c>
      <c r="R17" s="16" t="str">
        <f t="shared" si="3"/>
        <v>S</v>
      </c>
      <c r="S17" s="16" t="str" cm="1">
        <f t="array" ref="S17">IFERROR(_xlfn.IFS(I17="Offensive Rebound",1),"")</f>
        <v/>
      </c>
      <c r="T17" s="16" t="str" cm="1">
        <f t="array" ref="T17">IFERROR(_xlfn.IFS(I17="Defensive Rebound",1),"")</f>
        <v/>
      </c>
      <c r="U17" s="16" t="str" cm="1">
        <f t="array" ref="U17">IFERROR(_xlfn.IFS(I17="Assist",1),"")</f>
        <v/>
      </c>
      <c r="V17" s="16" t="str" cm="1">
        <f t="array" ref="V17">IFERROR(_xlfn.IFS(I17="Turnover",1),"")</f>
        <v/>
      </c>
      <c r="W17" s="16" t="str" cm="1">
        <f t="array" ref="W17">IFERROR(_xlfn.IFS(I17="Steal",1),"")</f>
        <v/>
      </c>
      <c r="X17" s="16" t="str" cm="1">
        <f t="array" ref="X17">IFERROR(_xlfn.IFS(I17="Block",1),"")</f>
        <v/>
      </c>
      <c r="Y17" s="16" t="str" cm="1">
        <f t="array" ref="Y17">IFERROR(_xlfn.IFS(I17="Block Received",1),"")</f>
        <v/>
      </c>
      <c r="Z17" s="16" t="str" cm="1">
        <f t="array" ref="Z17">IFERROR(_xlfn.IFS(I17="Foul",1,I17="Foul Technical",1,I17="Offensive Foul",1),"")</f>
        <v/>
      </c>
      <c r="AA17" s="16" t="str" cm="1">
        <f t="array" ref="AA17">IFERROR(_xlfn.IFS(I17="Foul Received",1),"")</f>
        <v/>
      </c>
      <c r="AB17" s="49" t="str" cm="1">
        <f t="array" ref="AB17">IFERROR(_xlfn.IFS(I17="Starting lineup",C17,I17="Substitution - In",C17),"")</f>
        <v/>
      </c>
      <c r="AC17" s="46" t="str" cm="1">
        <f t="array" ref="AC17">IFERROR(_xlfn.IFS(I17="Finishing lineup",C17,I17="Substitution - Out",C17),"")</f>
        <v/>
      </c>
      <c r="AD17" s="46" t="str" cm="1">
        <f t="array" ref="AD17">IF(AC17&lt;&gt;"",LOOKUP(2,1/((G$2:G16=G17)*(AB$2:AB16&lt;&gt;"")),AB$2:AB16)-AC17,"")</f>
        <v/>
      </c>
      <c r="AE17" s="50" t="str" cm="1">
        <f t="array" ref="AE17">IF(AC17&lt;&gt;"",LOOKUP(2,1/((G$2:G16=G17)*(AB$2:AB16&lt;&gt;"")),AB$2:AB16)-AC17,"")</f>
        <v/>
      </c>
    </row>
    <row r="18" spans="1:31" hidden="1" x14ac:dyDescent="0.35">
      <c r="A18" s="19">
        <v>1</v>
      </c>
      <c r="B18" s="19">
        <v>17</v>
      </c>
      <c r="C18" s="47">
        <v>6.3310185185185188E-3</v>
      </c>
      <c r="D18" s="16">
        <f t="shared" si="0"/>
        <v>9</v>
      </c>
      <c r="E18" s="16">
        <f t="shared" si="1"/>
        <v>7</v>
      </c>
      <c r="F18" s="19" t="s">
        <v>46</v>
      </c>
      <c r="G18" s="19" t="s">
        <v>73</v>
      </c>
      <c r="H18" s="16" t="str">
        <f>_xlfn.XLOOKUP(G18,'1-Players'!$A$2:$A$27,'1-Players'!$D$2:$D$27,"")</f>
        <v>Hugo Benítez</v>
      </c>
      <c r="I18" s="19" t="s">
        <v>61</v>
      </c>
      <c r="J18" s="19"/>
      <c r="K18" s="16" t="str" cm="1">
        <f t="array" ref="K18">IFERROR(_xlfn.IFS(I18="Free Throw",1,I18="2-Point Shot",2,I18="Dunk",2,I18="3-Point Shot",3),"")</f>
        <v/>
      </c>
      <c r="L18" s="16" t="str" cm="1">
        <f t="array" ref="L18">IFERROR(_xlfn.IFS(J18="Made",1,J18="Missed",0),"")</f>
        <v/>
      </c>
      <c r="M18" s="16" t="str">
        <f t="shared" si="2"/>
        <v/>
      </c>
      <c r="R18" s="16" t="str">
        <f t="shared" si="3"/>
        <v/>
      </c>
      <c r="S18" s="16" t="str" cm="1">
        <f t="array" ref="S18">IFERROR(_xlfn.IFS(I18="Offensive Rebound",1),"")</f>
        <v/>
      </c>
      <c r="T18" s="16" t="str" cm="1">
        <f t="array" ref="T18">IFERROR(_xlfn.IFS(I18="Defensive Rebound",1),"")</f>
        <v/>
      </c>
      <c r="U18" s="16" cm="1">
        <f t="array" ref="U18">IFERROR(_xlfn.IFS(I18="Assist",1),"")</f>
        <v>1</v>
      </c>
      <c r="V18" s="16" t="str" cm="1">
        <f t="array" ref="V18">IFERROR(_xlfn.IFS(I18="Turnover",1),"")</f>
        <v/>
      </c>
      <c r="W18" s="16" t="str" cm="1">
        <f t="array" ref="W18">IFERROR(_xlfn.IFS(I18="Steal",1),"")</f>
        <v/>
      </c>
      <c r="X18" s="16" t="str" cm="1">
        <f t="array" ref="X18">IFERROR(_xlfn.IFS(I18="Block",1),"")</f>
        <v/>
      </c>
      <c r="Y18" s="16" t="str" cm="1">
        <f t="array" ref="Y18">IFERROR(_xlfn.IFS(I18="Block Received",1),"")</f>
        <v/>
      </c>
      <c r="Z18" s="16" t="str" cm="1">
        <f t="array" ref="Z18">IFERROR(_xlfn.IFS(I18="Foul",1,I18="Foul Technical",1,I18="Offensive Foul",1),"")</f>
        <v/>
      </c>
      <c r="AA18" s="16" t="str" cm="1">
        <f t="array" ref="AA18">IFERROR(_xlfn.IFS(I18="Foul Received",1),"")</f>
        <v/>
      </c>
      <c r="AB18" s="49" t="str" cm="1">
        <f t="array" ref="AB18">IFERROR(_xlfn.IFS(I18="Starting lineup",C18,I18="Substitution - In",C18),"")</f>
        <v/>
      </c>
      <c r="AC18" s="46" t="str" cm="1">
        <f t="array" ref="AC18">IFERROR(_xlfn.IFS(I18="Finishing lineup",C18,I18="Substitution - Out",C18),"")</f>
        <v/>
      </c>
      <c r="AD18" s="46" t="str" cm="1">
        <f t="array" ref="AD18">IF(AC18&lt;&gt;"",LOOKUP(2,1/((G$2:G17=G18)*(AB$2:AB17&lt;&gt;"")),AB$2:AB17)-AC18,"")</f>
        <v/>
      </c>
      <c r="AE18" s="50" t="str" cm="1">
        <f t="array" ref="AE18">IF(AC18&lt;&gt;"",LOOKUP(2,1/((G$2:G17=G18)*(AB$2:AB17&lt;&gt;"")),AB$2:AB17)-AC18,"")</f>
        <v/>
      </c>
    </row>
    <row r="19" spans="1:31" hidden="1" x14ac:dyDescent="0.35">
      <c r="A19" s="19">
        <v>1</v>
      </c>
      <c r="B19" s="19">
        <v>18</v>
      </c>
      <c r="C19" s="47">
        <v>6.145833333333333E-3</v>
      </c>
      <c r="D19" s="16">
        <f t="shared" si="0"/>
        <v>8</v>
      </c>
      <c r="E19" s="16">
        <f t="shared" si="1"/>
        <v>51</v>
      </c>
      <c r="F19" s="19" t="s">
        <v>16</v>
      </c>
      <c r="G19" s="19" t="s">
        <v>25</v>
      </c>
      <c r="H19" s="16" t="str">
        <f>_xlfn.XLOOKUP(G19,'1-Players'!$A$2:$A$27,'1-Players'!$D$2:$D$27,"")</f>
        <v>Atoumane Diagne</v>
      </c>
      <c r="I19" s="19" t="s">
        <v>62</v>
      </c>
      <c r="J19" s="19" t="s">
        <v>60</v>
      </c>
      <c r="K19" s="16" cm="1">
        <f t="array" ref="K19">IFERROR(_xlfn.IFS(I19="Free Throw",1,I19="2-Point Shot",2,I19="Dunk",2,I19="3-Point Shot",3),"")</f>
        <v>2</v>
      </c>
      <c r="L19" s="16" cm="1">
        <f t="array" ref="L19">IFERROR(_xlfn.IFS(J19="Made",1,J19="Missed",0),"")</f>
        <v>1</v>
      </c>
      <c r="M19" s="16">
        <f t="shared" si="2"/>
        <v>2</v>
      </c>
      <c r="N19" s="16" t="s">
        <v>62</v>
      </c>
      <c r="O19" s="16" t="s">
        <v>179</v>
      </c>
      <c r="P19" s="16">
        <v>16</v>
      </c>
      <c r="Q19" s="16" t="s">
        <v>125</v>
      </c>
      <c r="R19" s="16" t="str">
        <f t="shared" si="3"/>
        <v>S</v>
      </c>
      <c r="S19" s="16" t="str" cm="1">
        <f t="array" ref="S19">IFERROR(_xlfn.IFS(I19="Offensive Rebound",1),"")</f>
        <v/>
      </c>
      <c r="T19" s="16" t="str" cm="1">
        <f t="array" ref="T19">IFERROR(_xlfn.IFS(I19="Defensive Rebound",1),"")</f>
        <v/>
      </c>
      <c r="U19" s="16" t="str" cm="1">
        <f t="array" ref="U19">IFERROR(_xlfn.IFS(I19="Assist",1),"")</f>
        <v/>
      </c>
      <c r="V19" s="16" t="str" cm="1">
        <f t="array" ref="V19">IFERROR(_xlfn.IFS(I19="Turnover",1),"")</f>
        <v/>
      </c>
      <c r="W19" s="16" t="str" cm="1">
        <f t="array" ref="W19">IFERROR(_xlfn.IFS(I19="Steal",1),"")</f>
        <v/>
      </c>
      <c r="X19" s="16" t="str" cm="1">
        <f t="array" ref="X19">IFERROR(_xlfn.IFS(I19="Block",1),"")</f>
        <v/>
      </c>
      <c r="Y19" s="16" t="str" cm="1">
        <f t="array" ref="Y19">IFERROR(_xlfn.IFS(I19="Block Received",1),"")</f>
        <v/>
      </c>
      <c r="Z19" s="16" t="str" cm="1">
        <f t="array" ref="Z19">IFERROR(_xlfn.IFS(I19="Foul",1,I19="Foul Technical",1,I19="Offensive Foul",1),"")</f>
        <v/>
      </c>
      <c r="AA19" s="16" t="str" cm="1">
        <f t="array" ref="AA19">IFERROR(_xlfn.IFS(I19="Foul Received",1),"")</f>
        <v/>
      </c>
      <c r="AB19" s="49" t="str" cm="1">
        <f t="array" ref="AB19">IFERROR(_xlfn.IFS(I19="Starting lineup",C19,I19="Substitution - In",C19),"")</f>
        <v/>
      </c>
      <c r="AC19" s="46" t="str" cm="1">
        <f t="array" ref="AC19">IFERROR(_xlfn.IFS(I19="Finishing lineup",C19,I19="Substitution - Out",C19),"")</f>
        <v/>
      </c>
      <c r="AD19" s="46" t="str" cm="1">
        <f t="array" ref="AD19">IF(AC19&lt;&gt;"",LOOKUP(2,1/((G$2:G18=G19)*(AB$2:AB18&lt;&gt;"")),AB$2:AB18)-AC19,"")</f>
        <v/>
      </c>
      <c r="AE19" s="50" t="str" cm="1">
        <f t="array" ref="AE19">IF(AC19&lt;&gt;"",LOOKUP(2,1/((G$2:G18=G19)*(AB$2:AB18&lt;&gt;"")),AB$2:AB18)-AC19,"")</f>
        <v/>
      </c>
    </row>
    <row r="20" spans="1:31" hidden="1" x14ac:dyDescent="0.35">
      <c r="A20" s="19">
        <v>1</v>
      </c>
      <c r="B20" s="19">
        <v>19</v>
      </c>
      <c r="C20" s="47">
        <v>6.145833333333333E-3</v>
      </c>
      <c r="D20" s="16">
        <f t="shared" si="0"/>
        <v>8</v>
      </c>
      <c r="E20" s="16">
        <f t="shared" si="1"/>
        <v>51</v>
      </c>
      <c r="F20" s="19" t="s">
        <v>16</v>
      </c>
      <c r="G20" s="19" t="s">
        <v>20</v>
      </c>
      <c r="H20" s="16" t="str">
        <f>_xlfn.XLOOKUP(G20,'1-Players'!$A$2:$A$27,'1-Players'!$D$2:$D$27,"")</f>
        <v>Caleb Agada</v>
      </c>
      <c r="I20" s="19" t="s">
        <v>61</v>
      </c>
      <c r="J20" s="19"/>
      <c r="K20" s="16" t="str" cm="1">
        <f t="array" ref="K20">IFERROR(_xlfn.IFS(I20="Free Throw",1,I20="2-Point Shot",2,I20="Dunk",2,I20="3-Point Shot",3),"")</f>
        <v/>
      </c>
      <c r="L20" s="16" t="str" cm="1">
        <f t="array" ref="L20">IFERROR(_xlfn.IFS(J20="Made",1,J20="Missed",0),"")</f>
        <v/>
      </c>
      <c r="M20" s="16" t="str">
        <f t="shared" si="2"/>
        <v/>
      </c>
      <c r="R20" s="16" t="str">
        <f t="shared" si="3"/>
        <v/>
      </c>
      <c r="S20" s="16" t="str" cm="1">
        <f t="array" ref="S20">IFERROR(_xlfn.IFS(I20="Offensive Rebound",1),"")</f>
        <v/>
      </c>
      <c r="T20" s="16" t="str" cm="1">
        <f t="array" ref="T20">IFERROR(_xlfn.IFS(I20="Defensive Rebound",1),"")</f>
        <v/>
      </c>
      <c r="U20" s="16" cm="1">
        <f t="array" ref="U20">IFERROR(_xlfn.IFS(I20="Assist",1),"")</f>
        <v>1</v>
      </c>
      <c r="V20" s="16" t="str" cm="1">
        <f t="array" ref="V20">IFERROR(_xlfn.IFS(I20="Turnover",1),"")</f>
        <v/>
      </c>
      <c r="W20" s="16" t="str" cm="1">
        <f t="array" ref="W20">IFERROR(_xlfn.IFS(I20="Steal",1),"")</f>
        <v/>
      </c>
      <c r="X20" s="16" t="str" cm="1">
        <f t="array" ref="X20">IFERROR(_xlfn.IFS(I20="Block",1),"")</f>
        <v/>
      </c>
      <c r="Y20" s="16" t="str" cm="1">
        <f t="array" ref="Y20">IFERROR(_xlfn.IFS(I20="Block Received",1),"")</f>
        <v/>
      </c>
      <c r="Z20" s="16" t="str" cm="1">
        <f t="array" ref="Z20">IFERROR(_xlfn.IFS(I20="Foul",1,I20="Foul Technical",1,I20="Offensive Foul",1),"")</f>
        <v/>
      </c>
      <c r="AA20" s="16" t="str" cm="1">
        <f t="array" ref="AA20">IFERROR(_xlfn.IFS(I20="Foul Received",1),"")</f>
        <v/>
      </c>
      <c r="AB20" s="49" t="str" cm="1">
        <f t="array" ref="AB20">IFERROR(_xlfn.IFS(I20="Starting lineup",C20,I20="Substitution - In",C20),"")</f>
        <v/>
      </c>
      <c r="AC20" s="46" t="str" cm="1">
        <f t="array" ref="AC20">IFERROR(_xlfn.IFS(I20="Finishing lineup",C20,I20="Substitution - Out",C20),"")</f>
        <v/>
      </c>
      <c r="AD20" s="46" t="str" cm="1">
        <f t="array" ref="AD20">IF(AC20&lt;&gt;"",LOOKUP(2,1/((G$2:G19=G20)*(AB$2:AB19&lt;&gt;"")),AB$2:AB19)-AC20,"")</f>
        <v/>
      </c>
      <c r="AE20" s="50" t="str" cm="1">
        <f t="array" ref="AE20">IF(AC20&lt;&gt;"",LOOKUP(2,1/((G$2:G19=G20)*(AB$2:AB19&lt;&gt;"")),AB$2:AB19)-AC20,"")</f>
        <v/>
      </c>
    </row>
    <row r="21" spans="1:31" hidden="1" x14ac:dyDescent="0.35">
      <c r="A21" s="19">
        <v>1</v>
      </c>
      <c r="B21" s="19">
        <v>20</v>
      </c>
      <c r="C21" s="47">
        <v>5.9143518518518521E-3</v>
      </c>
      <c r="D21" s="16">
        <f t="shared" si="0"/>
        <v>8</v>
      </c>
      <c r="E21" s="16">
        <f t="shared" si="1"/>
        <v>31</v>
      </c>
      <c r="F21" s="19" t="s">
        <v>46</v>
      </c>
      <c r="G21" s="19" t="s">
        <v>73</v>
      </c>
      <c r="H21" s="16" t="str">
        <f>_xlfn.XLOOKUP(G21,'1-Players'!$A$2:$A$27,'1-Players'!$D$2:$D$27,"")</f>
        <v>Hugo Benítez</v>
      </c>
      <c r="I21" s="19" t="s">
        <v>83</v>
      </c>
      <c r="J21" s="19" t="s">
        <v>60</v>
      </c>
      <c r="K21" s="16" cm="1">
        <f t="array" ref="K21">IFERROR(_xlfn.IFS(I21="Free Throw",1,I21="2-Point Shot",2,I21="Dunk",2,I21="3-Point Shot",3),"")</f>
        <v>3</v>
      </c>
      <c r="L21" s="16" cm="1">
        <f t="array" ref="L21">IFERROR(_xlfn.IFS(J21="Made",1,J21="Missed",0),"")</f>
        <v>1</v>
      </c>
      <c r="M21" s="16">
        <f t="shared" si="2"/>
        <v>3</v>
      </c>
      <c r="N21" s="16" t="s">
        <v>180</v>
      </c>
      <c r="O21" s="16" t="s">
        <v>184</v>
      </c>
      <c r="P21" s="16">
        <v>9</v>
      </c>
      <c r="Q21" s="16" t="s">
        <v>125</v>
      </c>
      <c r="R21" s="16" t="str">
        <f t="shared" si="3"/>
        <v>S</v>
      </c>
      <c r="S21" s="16" t="str" cm="1">
        <f t="array" ref="S21">IFERROR(_xlfn.IFS(I21="Offensive Rebound",1),"")</f>
        <v/>
      </c>
      <c r="T21" s="16" t="str" cm="1">
        <f t="array" ref="T21">IFERROR(_xlfn.IFS(I21="Defensive Rebound",1),"")</f>
        <v/>
      </c>
      <c r="U21" s="16" t="str" cm="1">
        <f t="array" ref="U21">IFERROR(_xlfn.IFS(I21="Assist",1),"")</f>
        <v/>
      </c>
      <c r="V21" s="16" t="str" cm="1">
        <f t="array" ref="V21">IFERROR(_xlfn.IFS(I21="Turnover",1),"")</f>
        <v/>
      </c>
      <c r="W21" s="16" t="str" cm="1">
        <f t="array" ref="W21">IFERROR(_xlfn.IFS(I21="Steal",1),"")</f>
        <v/>
      </c>
      <c r="X21" s="16" t="str" cm="1">
        <f t="array" ref="X21">IFERROR(_xlfn.IFS(I21="Block",1),"")</f>
        <v/>
      </c>
      <c r="Y21" s="16" t="str" cm="1">
        <f t="array" ref="Y21">IFERROR(_xlfn.IFS(I21="Block Received",1),"")</f>
        <v/>
      </c>
      <c r="Z21" s="16" t="str" cm="1">
        <f t="array" ref="Z21">IFERROR(_xlfn.IFS(I21="Foul",1,I21="Foul Technical",1,I21="Offensive Foul",1),"")</f>
        <v/>
      </c>
      <c r="AA21" s="16" t="str" cm="1">
        <f t="array" ref="AA21">IFERROR(_xlfn.IFS(I21="Foul Received",1),"")</f>
        <v/>
      </c>
      <c r="AB21" s="49" t="str" cm="1">
        <f t="array" ref="AB21">IFERROR(_xlfn.IFS(I21="Starting lineup",C21,I21="Substitution - In",C21),"")</f>
        <v/>
      </c>
      <c r="AC21" s="46" t="str" cm="1">
        <f t="array" ref="AC21">IFERROR(_xlfn.IFS(I21="Finishing lineup",C21,I21="Substitution - Out",C21),"")</f>
        <v/>
      </c>
      <c r="AD21" s="46" t="str" cm="1">
        <f t="array" ref="AD21">IF(AC21&lt;&gt;"",LOOKUP(2,1/((G$2:G20=G21)*(AB$2:AB20&lt;&gt;"")),AB$2:AB20)-AC21,"")</f>
        <v/>
      </c>
      <c r="AE21" s="50" t="str" cm="1">
        <f t="array" ref="AE21">IF(AC21&lt;&gt;"",LOOKUP(2,1/((G$2:G20=G21)*(AB$2:AB20&lt;&gt;"")),AB$2:AB20)-AC21,"")</f>
        <v/>
      </c>
    </row>
    <row r="22" spans="1:31" hidden="1" x14ac:dyDescent="0.35">
      <c r="A22" s="19">
        <v>1</v>
      </c>
      <c r="B22" s="19">
        <v>21</v>
      </c>
      <c r="C22" s="47">
        <v>6.145833333333333E-3</v>
      </c>
      <c r="D22" s="16">
        <f t="shared" si="0"/>
        <v>8</v>
      </c>
      <c r="E22" s="16">
        <f t="shared" si="1"/>
        <v>51</v>
      </c>
      <c r="F22" s="19" t="s">
        <v>46</v>
      </c>
      <c r="G22" s="19" t="s">
        <v>13</v>
      </c>
      <c r="H22" s="16" t="str">
        <f>_xlfn.XLOOKUP(G22,'1-Players'!$A$2:$A$27,'1-Players'!$D$2:$D$27,"")</f>
        <v>Retin Obasohan</v>
      </c>
      <c r="I22" s="19" t="s">
        <v>61</v>
      </c>
      <c r="J22" s="19"/>
      <c r="K22" s="16" t="str" cm="1">
        <f t="array" ref="K22">IFERROR(_xlfn.IFS(I22="Free Throw",1,I22="2-Point Shot",2,I22="Dunk",2,I22="3-Point Shot",3),"")</f>
        <v/>
      </c>
      <c r="L22" s="16" t="str" cm="1">
        <f t="array" ref="L22">IFERROR(_xlfn.IFS(J22="Made",1,J22="Missed",0),"")</f>
        <v/>
      </c>
      <c r="M22" s="16" t="str">
        <f t="shared" si="2"/>
        <v/>
      </c>
      <c r="R22" s="16" t="str">
        <f t="shared" si="3"/>
        <v/>
      </c>
      <c r="S22" s="16" t="str" cm="1">
        <f t="array" ref="S22">IFERROR(_xlfn.IFS(I22="Offensive Rebound",1),"")</f>
        <v/>
      </c>
      <c r="T22" s="16" t="str" cm="1">
        <f t="array" ref="T22">IFERROR(_xlfn.IFS(I22="Defensive Rebound",1),"")</f>
        <v/>
      </c>
      <c r="U22" s="16" cm="1">
        <f t="array" ref="U22">IFERROR(_xlfn.IFS(I22="Assist",1),"")</f>
        <v>1</v>
      </c>
      <c r="V22" s="16" t="str" cm="1">
        <f t="array" ref="V22">IFERROR(_xlfn.IFS(I22="Turnover",1),"")</f>
        <v/>
      </c>
      <c r="W22" s="16" t="str" cm="1">
        <f t="array" ref="W22">IFERROR(_xlfn.IFS(I22="Steal",1),"")</f>
        <v/>
      </c>
      <c r="X22" s="16" t="str" cm="1">
        <f t="array" ref="X22">IFERROR(_xlfn.IFS(I22="Block",1),"")</f>
        <v/>
      </c>
      <c r="Y22" s="16" t="str" cm="1">
        <f t="array" ref="Y22">IFERROR(_xlfn.IFS(I22="Block Received",1),"")</f>
        <v/>
      </c>
      <c r="Z22" s="16" t="str" cm="1">
        <f t="array" ref="Z22">IFERROR(_xlfn.IFS(I22="Foul",1,I22="Foul Technical",1,I22="Offensive Foul",1),"")</f>
        <v/>
      </c>
      <c r="AA22" s="16" t="str" cm="1">
        <f t="array" ref="AA22">IFERROR(_xlfn.IFS(I22="Foul Received",1),"")</f>
        <v/>
      </c>
      <c r="AB22" s="49" t="str" cm="1">
        <f t="array" ref="AB22">IFERROR(_xlfn.IFS(I22="Starting lineup",C22,I22="Substitution - In",C22),"")</f>
        <v/>
      </c>
      <c r="AC22" s="46" t="str" cm="1">
        <f t="array" ref="AC22">IFERROR(_xlfn.IFS(I22="Finishing lineup",C22,I22="Substitution - Out",C22),"")</f>
        <v/>
      </c>
      <c r="AD22" s="46" t="str" cm="1">
        <f t="array" ref="AD22">IF(AC22&lt;&gt;"",LOOKUP(2,1/((G$2:G21=G22)*(AB$2:AB21&lt;&gt;"")),AB$2:AB21)-AC22,"")</f>
        <v/>
      </c>
      <c r="AE22" s="50" t="str" cm="1">
        <f t="array" ref="AE22">IF(AC22&lt;&gt;"",LOOKUP(2,1/((G$2:G21=G22)*(AB$2:AB21&lt;&gt;"")),AB$2:AB21)-AC22,"")</f>
        <v/>
      </c>
    </row>
    <row r="23" spans="1:31" hidden="1" x14ac:dyDescent="0.35">
      <c r="A23" s="19">
        <v>1</v>
      </c>
      <c r="B23" s="19">
        <v>22</v>
      </c>
      <c r="C23" s="47">
        <v>5.6249999999999998E-3</v>
      </c>
      <c r="D23" s="16">
        <f t="shared" si="0"/>
        <v>8</v>
      </c>
      <c r="E23" s="16">
        <f t="shared" si="1"/>
        <v>6</v>
      </c>
      <c r="F23" s="19" t="s">
        <v>16</v>
      </c>
      <c r="G23" s="19" t="s">
        <v>15</v>
      </c>
      <c r="H23" s="16" t="str">
        <f>_xlfn.XLOOKUP(G23,'1-Players'!$A$2:$A$27,'1-Players'!$D$2:$D$27,"")</f>
        <v>James Batemon</v>
      </c>
      <c r="I23" s="19" t="s">
        <v>82</v>
      </c>
      <c r="J23" s="19" t="s">
        <v>63</v>
      </c>
      <c r="K23" s="16" cm="1">
        <f t="array" ref="K23">IFERROR(_xlfn.IFS(I23="Free Throw",1,I23="2-Point Shot",2,I23="Dunk",2,I23="3-Point Shot",3),"")</f>
        <v>2</v>
      </c>
      <c r="L23" s="16" cm="1">
        <f t="array" ref="L23">IFERROR(_xlfn.IFS(J23="Made",1,J23="Missed",0),"")</f>
        <v>0</v>
      </c>
      <c r="M23" s="16">
        <f t="shared" si="2"/>
        <v>0</v>
      </c>
      <c r="N23" s="16" t="s">
        <v>176</v>
      </c>
      <c r="O23" s="16" t="s">
        <v>175</v>
      </c>
      <c r="P23" s="16">
        <v>5</v>
      </c>
      <c r="Q23" s="16" t="s">
        <v>102</v>
      </c>
      <c r="R23" s="16" t="str">
        <f t="shared" si="3"/>
        <v/>
      </c>
      <c r="S23" s="16" t="str" cm="1">
        <f t="array" ref="S23">IFERROR(_xlfn.IFS(I23="Offensive Rebound",1),"")</f>
        <v/>
      </c>
      <c r="T23" s="16" t="str" cm="1">
        <f t="array" ref="T23">IFERROR(_xlfn.IFS(I23="Defensive Rebound",1),"")</f>
        <v/>
      </c>
      <c r="U23" s="16" t="str" cm="1">
        <f t="array" ref="U23">IFERROR(_xlfn.IFS(I23="Assist",1),"")</f>
        <v/>
      </c>
      <c r="V23" s="16" t="str" cm="1">
        <f t="array" ref="V23">IFERROR(_xlfn.IFS(I23="Turnover",1),"")</f>
        <v/>
      </c>
      <c r="W23" s="16" t="str" cm="1">
        <f t="array" ref="W23">IFERROR(_xlfn.IFS(I23="Steal",1),"")</f>
        <v/>
      </c>
      <c r="X23" s="16" t="str" cm="1">
        <f t="array" ref="X23">IFERROR(_xlfn.IFS(I23="Block",1),"")</f>
        <v/>
      </c>
      <c r="Y23" s="16" t="str" cm="1">
        <f t="array" ref="Y23">IFERROR(_xlfn.IFS(I23="Block Received",1),"")</f>
        <v/>
      </c>
      <c r="Z23" s="16" t="str" cm="1">
        <f t="array" ref="Z23">IFERROR(_xlfn.IFS(I23="Foul",1,I23="Foul Technical",1,I23="Offensive Foul",1),"")</f>
        <v/>
      </c>
      <c r="AA23" s="16" t="str" cm="1">
        <f t="array" ref="AA23">IFERROR(_xlfn.IFS(I23="Foul Received",1),"")</f>
        <v/>
      </c>
      <c r="AB23" s="49" t="str" cm="1">
        <f t="array" ref="AB23">IFERROR(_xlfn.IFS(I23="Starting lineup",C23,I23="Substitution - In",C23),"")</f>
        <v/>
      </c>
      <c r="AC23" s="46" t="str" cm="1">
        <f t="array" ref="AC23">IFERROR(_xlfn.IFS(I23="Finishing lineup",C23,I23="Substitution - Out",C23),"")</f>
        <v/>
      </c>
      <c r="AD23" s="46" t="str" cm="1">
        <f t="array" ref="AD23">IF(AC23&lt;&gt;"",LOOKUP(2,1/((G$2:G22=G23)*(AB$2:AB22&lt;&gt;"")),AB$2:AB22)-AC23,"")</f>
        <v/>
      </c>
      <c r="AE23" s="50" t="str" cm="1">
        <f t="array" ref="AE23">IF(AC23&lt;&gt;"",LOOKUP(2,1/((G$2:G22=G23)*(AB$2:AB22&lt;&gt;"")),AB$2:AB22)-AC23,"")</f>
        <v/>
      </c>
    </row>
    <row r="24" spans="1:31" hidden="1" x14ac:dyDescent="0.35">
      <c r="A24" s="19">
        <v>1</v>
      </c>
      <c r="B24" s="19">
        <v>23</v>
      </c>
      <c r="C24" s="47">
        <v>5.6249999999999998E-3</v>
      </c>
      <c r="D24" s="16">
        <f t="shared" si="0"/>
        <v>8</v>
      </c>
      <c r="E24" s="16">
        <f t="shared" si="1"/>
        <v>6</v>
      </c>
      <c r="F24" s="19" t="s">
        <v>46</v>
      </c>
      <c r="G24" s="19" t="s">
        <v>7</v>
      </c>
      <c r="H24" s="16" t="str">
        <f>_xlfn.XLOOKUP(G24,'1-Players'!$A$2:$A$27,'1-Players'!$D$2:$D$27,"")</f>
        <v>Álex Reyes</v>
      </c>
      <c r="I24" s="19" t="s">
        <v>84</v>
      </c>
      <c r="J24" s="19"/>
      <c r="K24" s="16" t="str" cm="1">
        <f t="array" ref="K24">IFERROR(_xlfn.IFS(I24="Free Throw",1,I24="2-Point Shot",2,I24="Dunk",2,I24="3-Point Shot",3),"")</f>
        <v/>
      </c>
      <c r="L24" s="16" t="str" cm="1">
        <f t="array" ref="L24">IFERROR(_xlfn.IFS(J24="Made",1,J24="Missed",0),"")</f>
        <v/>
      </c>
      <c r="M24" s="16" t="str">
        <f t="shared" si="2"/>
        <v/>
      </c>
      <c r="R24" s="16" t="str">
        <f t="shared" si="3"/>
        <v/>
      </c>
      <c r="S24" s="16" t="str" cm="1">
        <f t="array" ref="S24">IFERROR(_xlfn.IFS(I24="Offensive Rebound",1),"")</f>
        <v/>
      </c>
      <c r="T24" s="16" cm="1">
        <f t="array" ref="T24">IFERROR(_xlfn.IFS(I24="Defensive Rebound",1),"")</f>
        <v>1</v>
      </c>
      <c r="U24" s="16" t="str" cm="1">
        <f t="array" ref="U24">IFERROR(_xlfn.IFS(I24="Assist",1),"")</f>
        <v/>
      </c>
      <c r="V24" s="16" t="str" cm="1">
        <f t="array" ref="V24">IFERROR(_xlfn.IFS(I24="Turnover",1),"")</f>
        <v/>
      </c>
      <c r="W24" s="16" t="str" cm="1">
        <f t="array" ref="W24">IFERROR(_xlfn.IFS(I24="Steal",1),"")</f>
        <v/>
      </c>
      <c r="X24" s="16" t="str" cm="1">
        <f t="array" ref="X24">IFERROR(_xlfn.IFS(I24="Block",1),"")</f>
        <v/>
      </c>
      <c r="Y24" s="16" t="str" cm="1">
        <f t="array" ref="Y24">IFERROR(_xlfn.IFS(I24="Block Received",1),"")</f>
        <v/>
      </c>
      <c r="Z24" s="16" t="str" cm="1">
        <f t="array" ref="Z24">IFERROR(_xlfn.IFS(I24="Foul",1,I24="Foul Technical",1,I24="Offensive Foul",1),"")</f>
        <v/>
      </c>
      <c r="AA24" s="16" t="str" cm="1">
        <f t="array" ref="AA24">IFERROR(_xlfn.IFS(I24="Foul Received",1),"")</f>
        <v/>
      </c>
      <c r="AB24" s="49" t="str" cm="1">
        <f t="array" ref="AB24">IFERROR(_xlfn.IFS(I24="Starting lineup",C24,I24="Substitution - In",C24),"")</f>
        <v/>
      </c>
      <c r="AC24" s="46" t="str" cm="1">
        <f t="array" ref="AC24">IFERROR(_xlfn.IFS(I24="Finishing lineup",C24,I24="Substitution - Out",C24),"")</f>
        <v/>
      </c>
      <c r="AD24" s="46" t="str" cm="1">
        <f t="array" ref="AD24">IF(AC24&lt;&gt;"",LOOKUP(2,1/((G$2:G23=G24)*(AB$2:AB23&lt;&gt;"")),AB$2:AB23)-AC24,"")</f>
        <v/>
      </c>
      <c r="AE24" s="50" t="str" cm="1">
        <f t="array" ref="AE24">IF(AC24&lt;&gt;"",LOOKUP(2,1/((G$2:G23=G24)*(AB$2:AB23&lt;&gt;"")),AB$2:AB23)-AC24,"")</f>
        <v/>
      </c>
    </row>
    <row r="25" spans="1:31" hidden="1" x14ac:dyDescent="0.35">
      <c r="A25" s="19">
        <v>1</v>
      </c>
      <c r="B25" s="19">
        <v>24</v>
      </c>
      <c r="C25" s="47">
        <v>5.5208333333333333E-3</v>
      </c>
      <c r="D25" s="16">
        <f t="shared" si="0"/>
        <v>7</v>
      </c>
      <c r="E25" s="16">
        <f t="shared" si="1"/>
        <v>57</v>
      </c>
      <c r="F25" s="19" t="s">
        <v>46</v>
      </c>
      <c r="G25" s="19" t="s">
        <v>7</v>
      </c>
      <c r="H25" s="16" t="str">
        <f>_xlfn.XLOOKUP(G25,'1-Players'!$A$2:$A$27,'1-Players'!$D$2:$D$27,"")</f>
        <v>Álex Reyes</v>
      </c>
      <c r="I25" s="19" t="s">
        <v>83</v>
      </c>
      <c r="J25" s="19" t="s">
        <v>60</v>
      </c>
      <c r="K25" s="16" cm="1">
        <f t="array" ref="K25">IFERROR(_xlfn.IFS(I25="Free Throw",1,I25="2-Point Shot",2,I25="Dunk",2,I25="3-Point Shot",3),"")</f>
        <v>3</v>
      </c>
      <c r="L25" s="16" cm="1">
        <f t="array" ref="L25">IFERROR(_xlfn.IFS(J25="Made",1,J25="Missed",0),"")</f>
        <v>1</v>
      </c>
      <c r="M25" s="16">
        <f t="shared" si="2"/>
        <v>3</v>
      </c>
      <c r="N25" s="16" t="s">
        <v>186</v>
      </c>
      <c r="O25" s="16" t="s">
        <v>187</v>
      </c>
      <c r="P25" s="16">
        <v>16</v>
      </c>
      <c r="Q25" s="16" t="s">
        <v>102</v>
      </c>
      <c r="R25" s="16" t="str">
        <f t="shared" si="3"/>
        <v>S</v>
      </c>
      <c r="S25" s="16" t="str" cm="1">
        <f t="array" ref="S25">IFERROR(_xlfn.IFS(I25="Offensive Rebound",1),"")</f>
        <v/>
      </c>
      <c r="T25" s="16" t="str" cm="1">
        <f t="array" ref="T25">IFERROR(_xlfn.IFS(I25="Defensive Rebound",1),"")</f>
        <v/>
      </c>
      <c r="U25" s="16" t="str" cm="1">
        <f t="array" ref="U25">IFERROR(_xlfn.IFS(I25="Assist",1),"")</f>
        <v/>
      </c>
      <c r="V25" s="16" t="str" cm="1">
        <f t="array" ref="V25">IFERROR(_xlfn.IFS(I25="Turnover",1),"")</f>
        <v/>
      </c>
      <c r="W25" s="16" t="str" cm="1">
        <f t="array" ref="W25">IFERROR(_xlfn.IFS(I25="Steal",1),"")</f>
        <v/>
      </c>
      <c r="X25" s="16" t="str" cm="1">
        <f t="array" ref="X25">IFERROR(_xlfn.IFS(I25="Block",1),"")</f>
        <v/>
      </c>
      <c r="Y25" s="16" t="str" cm="1">
        <f t="array" ref="Y25">IFERROR(_xlfn.IFS(I25="Block Received",1),"")</f>
        <v/>
      </c>
      <c r="Z25" s="16" t="str" cm="1">
        <f t="array" ref="Z25">IFERROR(_xlfn.IFS(I25="Foul",1,I25="Foul Technical",1,I25="Offensive Foul",1),"")</f>
        <v/>
      </c>
      <c r="AA25" s="16" t="str" cm="1">
        <f t="array" ref="AA25">IFERROR(_xlfn.IFS(I25="Foul Received",1),"")</f>
        <v/>
      </c>
      <c r="AB25" s="49" t="str" cm="1">
        <f t="array" ref="AB25">IFERROR(_xlfn.IFS(I25="Starting lineup",C25,I25="Substitution - In",C25),"")</f>
        <v/>
      </c>
      <c r="AC25" s="46" t="str" cm="1">
        <f t="array" ref="AC25">IFERROR(_xlfn.IFS(I25="Finishing lineup",C25,I25="Substitution - Out",C25),"")</f>
        <v/>
      </c>
      <c r="AD25" s="46" t="str" cm="1">
        <f t="array" ref="AD25">IF(AC25&lt;&gt;"",LOOKUP(2,1/((G$2:G24=G25)*(AB$2:AB24&lt;&gt;"")),AB$2:AB24)-AC25,"")</f>
        <v/>
      </c>
      <c r="AE25" s="50" t="str" cm="1">
        <f t="array" ref="AE25">IF(AC25&lt;&gt;"",LOOKUP(2,1/((G$2:G24=G25)*(AB$2:AB24&lt;&gt;"")),AB$2:AB24)-AC25,"")</f>
        <v/>
      </c>
    </row>
    <row r="26" spans="1:31" hidden="1" x14ac:dyDescent="0.35">
      <c r="A26" s="19">
        <v>1</v>
      </c>
      <c r="B26" s="19">
        <v>25</v>
      </c>
      <c r="C26" s="47">
        <v>5.5208333333333333E-3</v>
      </c>
      <c r="D26" s="16">
        <f t="shared" si="0"/>
        <v>7</v>
      </c>
      <c r="E26" s="16">
        <f t="shared" si="1"/>
        <v>57</v>
      </c>
      <c r="F26" s="19" t="s">
        <v>46</v>
      </c>
      <c r="G26" s="19" t="s">
        <v>35</v>
      </c>
      <c r="H26" s="16" t="str">
        <f>_xlfn.XLOOKUP(G26,'1-Players'!$A$2:$A$27,'1-Players'!$D$2:$D$27,"")</f>
        <v>Grant Golden</v>
      </c>
      <c r="I26" s="19" t="s">
        <v>61</v>
      </c>
      <c r="J26" s="19"/>
      <c r="K26" s="16" t="str" cm="1">
        <f t="array" ref="K26">IFERROR(_xlfn.IFS(I26="Free Throw",1,I26="2-Point Shot",2,I26="Dunk",2,I26="3-Point Shot",3),"")</f>
        <v/>
      </c>
      <c r="L26" s="16" t="str" cm="1">
        <f t="array" ref="L26">IFERROR(_xlfn.IFS(J26="Made",1,J26="Missed",0),"")</f>
        <v/>
      </c>
      <c r="M26" s="16" t="str">
        <f t="shared" si="2"/>
        <v/>
      </c>
      <c r="R26" s="16" t="str">
        <f t="shared" si="3"/>
        <v/>
      </c>
      <c r="S26" s="16" t="str" cm="1">
        <f t="array" ref="S26">IFERROR(_xlfn.IFS(I26="Offensive Rebound",1),"")</f>
        <v/>
      </c>
      <c r="T26" s="16" t="str" cm="1">
        <f t="array" ref="T26">IFERROR(_xlfn.IFS(I26="Defensive Rebound",1),"")</f>
        <v/>
      </c>
      <c r="U26" s="16" cm="1">
        <f t="array" ref="U26">IFERROR(_xlfn.IFS(I26="Assist",1),"")</f>
        <v>1</v>
      </c>
      <c r="V26" s="16" t="str" cm="1">
        <f t="array" ref="V26">IFERROR(_xlfn.IFS(I26="Turnover",1),"")</f>
        <v/>
      </c>
      <c r="W26" s="16" t="str" cm="1">
        <f t="array" ref="W26">IFERROR(_xlfn.IFS(I26="Steal",1),"")</f>
        <v/>
      </c>
      <c r="X26" s="16" t="str" cm="1">
        <f t="array" ref="X26">IFERROR(_xlfn.IFS(I26="Block",1),"")</f>
        <v/>
      </c>
      <c r="Y26" s="16" t="str" cm="1">
        <f t="array" ref="Y26">IFERROR(_xlfn.IFS(I26="Block Received",1),"")</f>
        <v/>
      </c>
      <c r="Z26" s="16" t="str" cm="1">
        <f t="array" ref="Z26">IFERROR(_xlfn.IFS(I26="Foul",1,I26="Foul Technical",1,I26="Offensive Foul",1),"")</f>
        <v/>
      </c>
      <c r="AA26" s="16" t="str" cm="1">
        <f t="array" ref="AA26">IFERROR(_xlfn.IFS(I26="Foul Received",1),"")</f>
        <v/>
      </c>
      <c r="AB26" s="49" t="str" cm="1">
        <f t="array" ref="AB26">IFERROR(_xlfn.IFS(I26="Starting lineup",C26,I26="Substitution - In",C26),"")</f>
        <v/>
      </c>
      <c r="AC26" s="46" t="str" cm="1">
        <f t="array" ref="AC26">IFERROR(_xlfn.IFS(I26="Finishing lineup",C26,I26="Substitution - Out",C26),"")</f>
        <v/>
      </c>
      <c r="AD26" s="46" t="str" cm="1">
        <f t="array" ref="AD26">IF(AC26&lt;&gt;"",LOOKUP(2,1/((G$2:G25=G26)*(AB$2:AB25&lt;&gt;"")),AB$2:AB25)-AC26,"")</f>
        <v/>
      </c>
      <c r="AE26" s="50" t="str" cm="1">
        <f t="array" ref="AE26">IF(AC26&lt;&gt;"",LOOKUP(2,1/((G$2:G25=G26)*(AB$2:AB25&lt;&gt;"")),AB$2:AB25)-AC26,"")</f>
        <v/>
      </c>
    </row>
    <row r="27" spans="1:31" hidden="1" x14ac:dyDescent="0.35">
      <c r="A27" s="19">
        <v>1</v>
      </c>
      <c r="B27" s="19">
        <v>26</v>
      </c>
      <c r="C27" s="47">
        <v>5.2662037037037035E-3</v>
      </c>
      <c r="D27" s="16">
        <f t="shared" si="0"/>
        <v>7</v>
      </c>
      <c r="E27" s="16">
        <f t="shared" si="1"/>
        <v>35</v>
      </c>
      <c r="F27" s="19" t="s">
        <v>46</v>
      </c>
      <c r="G27" s="19" t="s">
        <v>73</v>
      </c>
      <c r="H27" s="16" t="str">
        <f>_xlfn.XLOOKUP(G27,'1-Players'!$A$2:$A$27,'1-Players'!$D$2:$D$27,"")</f>
        <v>Hugo Benítez</v>
      </c>
      <c r="I27" s="19" t="s">
        <v>106</v>
      </c>
      <c r="J27" s="19" t="s">
        <v>107</v>
      </c>
      <c r="K27" s="16" t="str" cm="1">
        <f t="array" ref="K27">IFERROR(_xlfn.IFS(I27="Free Throw",1,I27="2-Point Shot",2,I27="Dunk",2,I27="3-Point Shot",3),"")</f>
        <v/>
      </c>
      <c r="L27" s="16" t="str" cm="1">
        <f t="array" ref="L27">IFERROR(_xlfn.IFS(J27="Made",1,J27="Missed",0),"")</f>
        <v/>
      </c>
      <c r="M27" s="16" t="str">
        <f t="shared" si="2"/>
        <v/>
      </c>
      <c r="R27" s="16" t="str">
        <f t="shared" si="3"/>
        <v/>
      </c>
      <c r="S27" s="16" t="str" cm="1">
        <f t="array" ref="S27">IFERROR(_xlfn.IFS(I27="Offensive Rebound",1),"")</f>
        <v/>
      </c>
      <c r="T27" s="16" t="str" cm="1">
        <f t="array" ref="T27">IFERROR(_xlfn.IFS(I27="Defensive Rebound",1),"")</f>
        <v/>
      </c>
      <c r="U27" s="16" t="str" cm="1">
        <f t="array" ref="U27">IFERROR(_xlfn.IFS(I27="Assist",1),"")</f>
        <v/>
      </c>
      <c r="V27" s="16" t="str" cm="1">
        <f t="array" ref="V27">IFERROR(_xlfn.IFS(I27="Turnover",1),"")</f>
        <v/>
      </c>
      <c r="W27" s="16" t="str" cm="1">
        <f t="array" ref="W27">IFERROR(_xlfn.IFS(I27="Steal",1),"")</f>
        <v/>
      </c>
      <c r="X27" s="16" t="str" cm="1">
        <f t="array" ref="X27">IFERROR(_xlfn.IFS(I27="Block",1),"")</f>
        <v/>
      </c>
      <c r="Y27" s="16" t="str" cm="1">
        <f t="array" ref="Y27">IFERROR(_xlfn.IFS(I27="Block Received",1),"")</f>
        <v/>
      </c>
      <c r="Z27" s="16" cm="1">
        <f t="array" ref="Z27">IFERROR(_xlfn.IFS(I27="Foul",1,I27="Foul Technical",1,I27="Offensive Foul",1),"")</f>
        <v>1</v>
      </c>
      <c r="AA27" s="16" t="str" cm="1">
        <f t="array" ref="AA27">IFERROR(_xlfn.IFS(I27="Foul Received",1),"")</f>
        <v/>
      </c>
      <c r="AB27" s="49" t="str" cm="1">
        <f t="array" ref="AB27">IFERROR(_xlfn.IFS(I27="Starting lineup",C27,I27="Substitution - In",C27),"")</f>
        <v/>
      </c>
      <c r="AC27" s="46" t="str" cm="1">
        <f t="array" ref="AC27">IFERROR(_xlfn.IFS(I27="Finishing lineup",C27,I27="Substitution - Out",C27),"")</f>
        <v/>
      </c>
      <c r="AD27" s="46" t="str" cm="1">
        <f t="array" ref="AD27">IF(AC27&lt;&gt;"",LOOKUP(2,1/((G$2:G26=G27)*(AB$2:AB26&lt;&gt;"")),AB$2:AB26)-AC27,"")</f>
        <v/>
      </c>
      <c r="AE27" s="50" t="str" cm="1">
        <f t="array" ref="AE27">IF(AC27&lt;&gt;"",LOOKUP(2,1/((G$2:G26=G27)*(AB$2:AB26&lt;&gt;"")),AB$2:AB26)-AC27,"")</f>
        <v/>
      </c>
    </row>
    <row r="28" spans="1:31" hidden="1" x14ac:dyDescent="0.35">
      <c r="A28" s="19">
        <v>1</v>
      </c>
      <c r="B28" s="19">
        <v>27</v>
      </c>
      <c r="C28" s="47">
        <v>5.2662037037037035E-3</v>
      </c>
      <c r="D28" s="16">
        <f t="shared" si="0"/>
        <v>7</v>
      </c>
      <c r="E28" s="16">
        <f t="shared" si="1"/>
        <v>35</v>
      </c>
      <c r="F28" s="19" t="s">
        <v>16</v>
      </c>
      <c r="G28" s="19" t="s">
        <v>20</v>
      </c>
      <c r="H28" s="16" t="str">
        <f>_xlfn.XLOOKUP(G28,'1-Players'!$A$2:$A$27,'1-Players'!$D$2:$D$27,"")</f>
        <v>Caleb Agada</v>
      </c>
      <c r="I28" s="19" t="s">
        <v>108</v>
      </c>
      <c r="J28" s="19"/>
      <c r="K28" s="16" t="str" cm="1">
        <f t="array" ref="K28">IFERROR(_xlfn.IFS(I28="Free Throw",1,I28="2-Point Shot",2,I28="Dunk",2,I28="3-Point Shot",3),"")</f>
        <v/>
      </c>
      <c r="L28" s="16" t="str" cm="1">
        <f t="array" ref="L28">IFERROR(_xlfn.IFS(J28="Made",1,J28="Missed",0),"")</f>
        <v/>
      </c>
      <c r="M28" s="16" t="str">
        <f t="shared" si="2"/>
        <v/>
      </c>
      <c r="R28" s="16" t="str">
        <f t="shared" si="3"/>
        <v/>
      </c>
      <c r="S28" s="16" t="str" cm="1">
        <f t="array" ref="S28">IFERROR(_xlfn.IFS(I28="Offensive Rebound",1),"")</f>
        <v/>
      </c>
      <c r="T28" s="16" t="str" cm="1">
        <f t="array" ref="T28">IFERROR(_xlfn.IFS(I28="Defensive Rebound",1),"")</f>
        <v/>
      </c>
      <c r="U28" s="16" t="str" cm="1">
        <f t="array" ref="U28">IFERROR(_xlfn.IFS(I28="Assist",1),"")</f>
        <v/>
      </c>
      <c r="V28" s="16" t="str" cm="1">
        <f t="array" ref="V28">IFERROR(_xlfn.IFS(I28="Turnover",1),"")</f>
        <v/>
      </c>
      <c r="W28" s="16" t="str" cm="1">
        <f t="array" ref="W28">IFERROR(_xlfn.IFS(I28="Steal",1),"")</f>
        <v/>
      </c>
      <c r="X28" s="16" t="str" cm="1">
        <f t="array" ref="X28">IFERROR(_xlfn.IFS(I28="Block",1),"")</f>
        <v/>
      </c>
      <c r="Y28" s="16" t="str" cm="1">
        <f t="array" ref="Y28">IFERROR(_xlfn.IFS(I28="Block Received",1),"")</f>
        <v/>
      </c>
      <c r="Z28" s="16" t="str" cm="1">
        <f t="array" ref="Z28">IFERROR(_xlfn.IFS(I28="Foul",1,I28="Foul Technical",1,I28="Offensive Foul",1),"")</f>
        <v/>
      </c>
      <c r="AA28" s="16" cm="1">
        <f t="array" ref="AA28">IFERROR(_xlfn.IFS(I28="Foul Received",1),"")</f>
        <v>1</v>
      </c>
      <c r="AB28" s="49" t="str" cm="1">
        <f t="array" ref="AB28">IFERROR(_xlfn.IFS(I28="Starting lineup",C28,I28="Substitution - In",C28),"")</f>
        <v/>
      </c>
      <c r="AC28" s="46" t="str" cm="1">
        <f t="array" ref="AC28">IFERROR(_xlfn.IFS(I28="Finishing lineup",C28,I28="Substitution - Out",C28),"")</f>
        <v/>
      </c>
      <c r="AD28" s="46" t="str" cm="1">
        <f t="array" ref="AD28">IF(AC28&lt;&gt;"",LOOKUP(2,1/((G$2:G27=G28)*(AB$2:AB27&lt;&gt;"")),AB$2:AB27)-AC28,"")</f>
        <v/>
      </c>
      <c r="AE28" s="50" t="str" cm="1">
        <f t="array" ref="AE28">IF(AC28&lt;&gt;"",LOOKUP(2,1/((G$2:G27=G28)*(AB$2:AB27&lt;&gt;"")),AB$2:AB27)-AC28,"")</f>
        <v/>
      </c>
    </row>
    <row r="29" spans="1:31" hidden="1" x14ac:dyDescent="0.35">
      <c r="A29" s="19">
        <v>1</v>
      </c>
      <c r="B29" s="19">
        <v>28</v>
      </c>
      <c r="C29" s="47">
        <v>5.2662037037037035E-3</v>
      </c>
      <c r="D29" s="16">
        <f t="shared" si="0"/>
        <v>7</v>
      </c>
      <c r="E29" s="16">
        <f t="shared" si="1"/>
        <v>35</v>
      </c>
      <c r="F29" s="19" t="s">
        <v>16</v>
      </c>
      <c r="G29" s="19" t="s">
        <v>20</v>
      </c>
      <c r="H29" s="16" t="str">
        <f>_xlfn.XLOOKUP(G29,'1-Players'!$A$2:$A$27,'1-Players'!$D$2:$D$27,"")</f>
        <v>Caleb Agada</v>
      </c>
      <c r="I29" s="19" t="s">
        <v>85</v>
      </c>
      <c r="J29" s="19" t="s">
        <v>60</v>
      </c>
      <c r="K29" s="16" cm="1">
        <f t="array" ref="K29">IFERROR(_xlfn.IFS(I29="Free Throw",1,I29="2-Point Shot",2,I29="Dunk",2,I29="3-Point Shot",3),"")</f>
        <v>1</v>
      </c>
      <c r="L29" s="16" cm="1">
        <f t="array" ref="L29">IFERROR(_xlfn.IFS(J29="Made",1,J29="Missed",0),"")</f>
        <v>1</v>
      </c>
      <c r="M29" s="16">
        <f t="shared" si="2"/>
        <v>1</v>
      </c>
      <c r="R29" s="16" t="str">
        <f t="shared" si="3"/>
        <v>N</v>
      </c>
      <c r="S29" s="16" t="str" cm="1">
        <f t="array" ref="S29">IFERROR(_xlfn.IFS(I29="Offensive Rebound",1),"")</f>
        <v/>
      </c>
      <c r="T29" s="16" t="str" cm="1">
        <f t="array" ref="T29">IFERROR(_xlfn.IFS(I29="Defensive Rebound",1),"")</f>
        <v/>
      </c>
      <c r="U29" s="16" t="str" cm="1">
        <f t="array" ref="U29">IFERROR(_xlfn.IFS(I29="Assist",1),"")</f>
        <v/>
      </c>
      <c r="V29" s="16" t="str" cm="1">
        <f t="array" ref="V29">IFERROR(_xlfn.IFS(I29="Turnover",1),"")</f>
        <v/>
      </c>
      <c r="W29" s="16" t="str" cm="1">
        <f t="array" ref="W29">IFERROR(_xlfn.IFS(I29="Steal",1),"")</f>
        <v/>
      </c>
      <c r="X29" s="16" t="str" cm="1">
        <f t="array" ref="X29">IFERROR(_xlfn.IFS(I29="Block",1),"")</f>
        <v/>
      </c>
      <c r="Y29" s="16" t="str" cm="1">
        <f t="array" ref="Y29">IFERROR(_xlfn.IFS(I29="Block Received",1),"")</f>
        <v/>
      </c>
      <c r="Z29" s="16" t="str" cm="1">
        <f t="array" ref="Z29">IFERROR(_xlfn.IFS(I29="Foul",1,I29="Foul Technical",1,I29="Offensive Foul",1),"")</f>
        <v/>
      </c>
      <c r="AA29" s="16" t="str" cm="1">
        <f t="array" ref="AA29">IFERROR(_xlfn.IFS(I29="Foul Received",1),"")</f>
        <v/>
      </c>
      <c r="AB29" s="49" t="str" cm="1">
        <f t="array" ref="AB29">IFERROR(_xlfn.IFS(I29="Starting lineup",C29,I29="Substitution - In",C29),"")</f>
        <v/>
      </c>
      <c r="AC29" s="46" t="str" cm="1">
        <f t="array" ref="AC29">IFERROR(_xlfn.IFS(I29="Finishing lineup",C29,I29="Substitution - Out",C29),"")</f>
        <v/>
      </c>
      <c r="AD29" s="46" t="str" cm="1">
        <f t="array" ref="AD29">IF(AC29&lt;&gt;"",LOOKUP(2,1/((G$2:G28=G29)*(AB$2:AB28&lt;&gt;"")),AB$2:AB28)-AC29,"")</f>
        <v/>
      </c>
      <c r="AE29" s="50" t="str" cm="1">
        <f t="array" ref="AE29">IF(AC29&lt;&gt;"",LOOKUP(2,1/((G$2:G28=G29)*(AB$2:AB28&lt;&gt;"")),AB$2:AB28)-AC29,"")</f>
        <v/>
      </c>
    </row>
    <row r="30" spans="1:31" hidden="1" x14ac:dyDescent="0.35">
      <c r="A30" s="19">
        <v>1</v>
      </c>
      <c r="B30" s="19">
        <v>29</v>
      </c>
      <c r="C30" s="47">
        <v>5.2662037037037035E-3</v>
      </c>
      <c r="D30" s="16">
        <f t="shared" si="0"/>
        <v>7</v>
      </c>
      <c r="E30" s="16">
        <f t="shared" si="1"/>
        <v>35</v>
      </c>
      <c r="F30" s="19" t="s">
        <v>16</v>
      </c>
      <c r="G30" s="19" t="s">
        <v>20</v>
      </c>
      <c r="H30" s="16" t="str">
        <f>_xlfn.XLOOKUP(G30,'1-Players'!$A$2:$A$27,'1-Players'!$D$2:$D$27,"")</f>
        <v>Caleb Agada</v>
      </c>
      <c r="I30" s="19" t="s">
        <v>85</v>
      </c>
      <c r="J30" s="19" t="s">
        <v>60</v>
      </c>
      <c r="K30" s="16" cm="1">
        <f t="array" ref="K30">IFERROR(_xlfn.IFS(I30="Free Throw",1,I30="2-Point Shot",2,I30="Dunk",2,I30="3-Point Shot",3),"")</f>
        <v>1</v>
      </c>
      <c r="L30" s="16" cm="1">
        <f t="array" ref="L30">IFERROR(_xlfn.IFS(J30="Made",1,J30="Missed",0),"")</f>
        <v>1</v>
      </c>
      <c r="M30" s="16">
        <f t="shared" si="2"/>
        <v>1</v>
      </c>
      <c r="R30" s="16" t="str">
        <f t="shared" si="3"/>
        <v>N</v>
      </c>
      <c r="S30" s="16" t="str" cm="1">
        <f t="array" ref="S30">IFERROR(_xlfn.IFS(I30="Offensive Rebound",1),"")</f>
        <v/>
      </c>
      <c r="T30" s="16" t="str" cm="1">
        <f t="array" ref="T30">IFERROR(_xlfn.IFS(I30="Defensive Rebound",1),"")</f>
        <v/>
      </c>
      <c r="U30" s="16" t="str" cm="1">
        <f t="array" ref="U30">IFERROR(_xlfn.IFS(I30="Assist",1),"")</f>
        <v/>
      </c>
      <c r="V30" s="16" t="str" cm="1">
        <f t="array" ref="V30">IFERROR(_xlfn.IFS(I30="Turnover",1),"")</f>
        <v/>
      </c>
      <c r="W30" s="16" t="str" cm="1">
        <f t="array" ref="W30">IFERROR(_xlfn.IFS(I30="Steal",1),"")</f>
        <v/>
      </c>
      <c r="X30" s="16" t="str" cm="1">
        <f t="array" ref="X30">IFERROR(_xlfn.IFS(I30="Block",1),"")</f>
        <v/>
      </c>
      <c r="Y30" s="16" t="str" cm="1">
        <f t="array" ref="Y30">IFERROR(_xlfn.IFS(I30="Block Received",1),"")</f>
        <v/>
      </c>
      <c r="Z30" s="16" t="str" cm="1">
        <f t="array" ref="Z30">IFERROR(_xlfn.IFS(I30="Foul",1,I30="Foul Technical",1,I30="Offensive Foul",1),"")</f>
        <v/>
      </c>
      <c r="AA30" s="16" t="str" cm="1">
        <f t="array" ref="AA30">IFERROR(_xlfn.IFS(I30="Foul Received",1),"")</f>
        <v/>
      </c>
      <c r="AB30" s="49" t="str" cm="1">
        <f t="array" ref="AB30">IFERROR(_xlfn.IFS(I30="Starting lineup",C30,I30="Substitution - In",C30),"")</f>
        <v/>
      </c>
      <c r="AC30" s="46" t="str" cm="1">
        <f t="array" ref="AC30">IFERROR(_xlfn.IFS(I30="Finishing lineup",C30,I30="Substitution - Out",C30),"")</f>
        <v/>
      </c>
      <c r="AD30" s="46" t="str" cm="1">
        <f t="array" ref="AD30">IF(AC30&lt;&gt;"",LOOKUP(2,1/((G$2:G29=G30)*(AB$2:AB29&lt;&gt;"")),AB$2:AB29)-AC30,"")</f>
        <v/>
      </c>
      <c r="AE30" s="50" t="str" cm="1">
        <f t="array" ref="AE30">IF(AC30&lt;&gt;"",LOOKUP(2,1/((G$2:G29=G30)*(AB$2:AB29&lt;&gt;"")),AB$2:AB29)-AC30,"")</f>
        <v/>
      </c>
    </row>
    <row r="31" spans="1:31" hidden="1" x14ac:dyDescent="0.35">
      <c r="A31" s="19">
        <v>1</v>
      </c>
      <c r="B31" s="19">
        <v>30</v>
      </c>
      <c r="C31" s="47">
        <v>5.2199074074074075E-3</v>
      </c>
      <c r="D31" s="16">
        <f t="shared" si="0"/>
        <v>7</v>
      </c>
      <c r="E31" s="16">
        <f t="shared" si="1"/>
        <v>31</v>
      </c>
      <c r="F31" s="19" t="s">
        <v>46</v>
      </c>
      <c r="G31" s="19" t="s">
        <v>11</v>
      </c>
      <c r="H31" s="16" t="str">
        <f>_xlfn.XLOOKUP(G31,'1-Players'!$A$2:$A$27,'1-Players'!$D$2:$D$27,"")</f>
        <v>Marcis Steinbergs</v>
      </c>
      <c r="I31" s="19" t="s">
        <v>82</v>
      </c>
      <c r="J31" s="19" t="s">
        <v>63</v>
      </c>
      <c r="K31" s="16" cm="1">
        <f t="array" ref="K31">IFERROR(_xlfn.IFS(I31="Free Throw",1,I31="2-Point Shot",2,I31="Dunk",2,I31="3-Point Shot",3),"")</f>
        <v>2</v>
      </c>
      <c r="L31" s="16" cm="1">
        <f t="array" ref="L31">IFERROR(_xlfn.IFS(J31="Made",1,J31="Missed",0),"")</f>
        <v>0</v>
      </c>
      <c r="M31" s="16">
        <f t="shared" si="2"/>
        <v>0</v>
      </c>
      <c r="N31" s="16" t="s">
        <v>177</v>
      </c>
      <c r="O31" s="16" t="s">
        <v>188</v>
      </c>
      <c r="P31" s="16">
        <v>6</v>
      </c>
      <c r="Q31" s="16" t="s">
        <v>102</v>
      </c>
      <c r="R31" s="16" t="str">
        <f t="shared" si="3"/>
        <v/>
      </c>
      <c r="S31" s="16" t="str" cm="1">
        <f t="array" ref="S31">IFERROR(_xlfn.IFS(I31="Offensive Rebound",1),"")</f>
        <v/>
      </c>
      <c r="T31" s="16" t="str" cm="1">
        <f t="array" ref="T31">IFERROR(_xlfn.IFS(I31="Defensive Rebound",1),"")</f>
        <v/>
      </c>
      <c r="U31" s="16" t="str" cm="1">
        <f t="array" ref="U31">IFERROR(_xlfn.IFS(I31="Assist",1),"")</f>
        <v/>
      </c>
      <c r="V31" s="16" t="str" cm="1">
        <f t="array" ref="V31">IFERROR(_xlfn.IFS(I31="Turnover",1),"")</f>
        <v/>
      </c>
      <c r="W31" s="16" t="str" cm="1">
        <f t="array" ref="W31">IFERROR(_xlfn.IFS(I31="Steal",1),"")</f>
        <v/>
      </c>
      <c r="X31" s="16" t="str" cm="1">
        <f t="array" ref="X31">IFERROR(_xlfn.IFS(I31="Block",1),"")</f>
        <v/>
      </c>
      <c r="Y31" s="16" t="str" cm="1">
        <f t="array" ref="Y31">IFERROR(_xlfn.IFS(I31="Block Received",1),"")</f>
        <v/>
      </c>
      <c r="Z31" s="16" t="str" cm="1">
        <f t="array" ref="Z31">IFERROR(_xlfn.IFS(I31="Foul",1,I31="Foul Technical",1,I31="Offensive Foul",1),"")</f>
        <v/>
      </c>
      <c r="AA31" s="16" t="str" cm="1">
        <f t="array" ref="AA31">IFERROR(_xlfn.IFS(I31="Foul Received",1),"")</f>
        <v/>
      </c>
      <c r="AB31" s="49" t="str" cm="1">
        <f t="array" ref="AB31">IFERROR(_xlfn.IFS(I31="Starting lineup",C31,I31="Substitution - In",C31),"")</f>
        <v/>
      </c>
      <c r="AC31" s="46" t="str" cm="1">
        <f t="array" ref="AC31">IFERROR(_xlfn.IFS(I31="Finishing lineup",C31,I31="Substitution - Out",C31),"")</f>
        <v/>
      </c>
      <c r="AD31" s="46" t="str" cm="1">
        <f t="array" ref="AD31">IF(AC31&lt;&gt;"",LOOKUP(2,1/((G$2:G30=G31)*(AB$2:AB30&lt;&gt;"")),AB$2:AB30)-AC31,"")</f>
        <v/>
      </c>
      <c r="AE31" s="50" t="str" cm="1">
        <f t="array" ref="AE31">IF(AC31&lt;&gt;"",LOOKUP(2,1/((G$2:G30=G31)*(AB$2:AB30&lt;&gt;"")),AB$2:AB30)-AC31,"")</f>
        <v/>
      </c>
    </row>
    <row r="32" spans="1:31" hidden="1" x14ac:dyDescent="0.35">
      <c r="A32" s="19">
        <v>1</v>
      </c>
      <c r="B32" s="19">
        <v>31</v>
      </c>
      <c r="C32" s="47">
        <v>5.2199074074074075E-3</v>
      </c>
      <c r="D32" s="16">
        <f t="shared" si="0"/>
        <v>7</v>
      </c>
      <c r="E32" s="16">
        <f t="shared" si="1"/>
        <v>31</v>
      </c>
      <c r="F32" s="19" t="s">
        <v>46</v>
      </c>
      <c r="G32" s="19" t="s">
        <v>11</v>
      </c>
      <c r="H32" s="16" t="str">
        <f>_xlfn.XLOOKUP(G32,'1-Players'!$A$2:$A$27,'1-Players'!$D$2:$D$27,"")</f>
        <v>Marcis Steinbergs</v>
      </c>
      <c r="I32" s="19" t="s">
        <v>86</v>
      </c>
      <c r="J32" s="19"/>
      <c r="K32" s="16" t="str" cm="1">
        <f t="array" ref="K32">IFERROR(_xlfn.IFS(I32="Free Throw",1,I32="2-Point Shot",2,I32="Dunk",2,I32="3-Point Shot",3),"")</f>
        <v/>
      </c>
      <c r="L32" s="16" t="str" cm="1">
        <f t="array" ref="L32">IFERROR(_xlfn.IFS(J32="Made",1,J32="Missed",0),"")</f>
        <v/>
      </c>
      <c r="M32" s="16" t="str">
        <f t="shared" si="2"/>
        <v/>
      </c>
      <c r="R32" s="16" t="str">
        <f t="shared" si="3"/>
        <v/>
      </c>
      <c r="S32" s="16" t="str" cm="1">
        <f t="array" ref="S32">IFERROR(_xlfn.IFS(I32="Offensive Rebound",1),"")</f>
        <v/>
      </c>
      <c r="T32" s="16" t="str" cm="1">
        <f t="array" ref="T32">IFERROR(_xlfn.IFS(I32="Defensive Rebound",1),"")</f>
        <v/>
      </c>
      <c r="U32" s="16" t="str" cm="1">
        <f t="array" ref="U32">IFERROR(_xlfn.IFS(I32="Assist",1),"")</f>
        <v/>
      </c>
      <c r="V32" s="16" t="str" cm="1">
        <f t="array" ref="V32">IFERROR(_xlfn.IFS(I32="Turnover",1),"")</f>
        <v/>
      </c>
      <c r="W32" s="16" t="str" cm="1">
        <f t="array" ref="W32">IFERROR(_xlfn.IFS(I32="Steal",1),"")</f>
        <v/>
      </c>
      <c r="X32" s="16" t="str" cm="1">
        <f t="array" ref="X32">IFERROR(_xlfn.IFS(I32="Block",1),"")</f>
        <v/>
      </c>
      <c r="Y32" s="16" cm="1">
        <f t="array" ref="Y32">IFERROR(_xlfn.IFS(I32="Block Received",1),"")</f>
        <v>1</v>
      </c>
      <c r="Z32" s="16" t="str" cm="1">
        <f t="array" ref="Z32">IFERROR(_xlfn.IFS(I32="Foul",1,I32="Foul Technical",1,I32="Offensive Foul",1),"")</f>
        <v/>
      </c>
      <c r="AA32" s="16" t="str" cm="1">
        <f t="array" ref="AA32">IFERROR(_xlfn.IFS(I32="Foul Received",1),"")</f>
        <v/>
      </c>
      <c r="AB32" s="49" t="str" cm="1">
        <f t="array" ref="AB32">IFERROR(_xlfn.IFS(I32="Starting lineup",C32,I32="Substitution - In",C32),"")</f>
        <v/>
      </c>
      <c r="AC32" s="46" t="str" cm="1">
        <f t="array" ref="AC32">IFERROR(_xlfn.IFS(I32="Finishing lineup",C32,I32="Substitution - Out",C32),"")</f>
        <v/>
      </c>
      <c r="AD32" s="46" t="str" cm="1">
        <f t="array" ref="AD32">IF(AC32&lt;&gt;"",LOOKUP(2,1/((G$2:G31=G32)*(AB$2:AB31&lt;&gt;"")),AB$2:AB31)-AC32,"")</f>
        <v/>
      </c>
      <c r="AE32" s="50" t="str" cm="1">
        <f t="array" ref="AE32">IF(AC32&lt;&gt;"",LOOKUP(2,1/((G$2:G31=G32)*(AB$2:AB31&lt;&gt;"")),AB$2:AB31)-AC32,"")</f>
        <v/>
      </c>
    </row>
    <row r="33" spans="1:31" hidden="1" x14ac:dyDescent="0.35">
      <c r="A33" s="19">
        <v>1</v>
      </c>
      <c r="B33" s="19">
        <v>32</v>
      </c>
      <c r="C33" s="47">
        <v>5.2199074074074075E-3</v>
      </c>
      <c r="D33" s="16">
        <f t="shared" si="0"/>
        <v>7</v>
      </c>
      <c r="E33" s="16">
        <f t="shared" si="1"/>
        <v>31</v>
      </c>
      <c r="F33" s="19" t="s">
        <v>16</v>
      </c>
      <c r="G33" s="19" t="s">
        <v>38</v>
      </c>
      <c r="H33" s="16" t="str">
        <f>_xlfn.XLOOKUP(G33,'1-Players'!$A$2:$A$27,'1-Players'!$D$2:$D$27,"")</f>
        <v>Mikel Sanz</v>
      </c>
      <c r="I33" s="19" t="s">
        <v>64</v>
      </c>
      <c r="J33" s="19"/>
      <c r="K33" s="16" t="str" cm="1">
        <f t="array" ref="K33">IFERROR(_xlfn.IFS(I33="Free Throw",1,I33="2-Point Shot",2,I33="Dunk",2,I33="3-Point Shot",3),"")</f>
        <v/>
      </c>
      <c r="L33" s="16" t="str" cm="1">
        <f t="array" ref="L33">IFERROR(_xlfn.IFS(J33="Made",1,J33="Missed",0),"")</f>
        <v/>
      </c>
      <c r="M33" s="16" t="str">
        <f t="shared" si="2"/>
        <v/>
      </c>
      <c r="R33" s="16" t="str">
        <f t="shared" si="3"/>
        <v/>
      </c>
      <c r="S33" s="16" t="str" cm="1">
        <f t="array" ref="S33">IFERROR(_xlfn.IFS(I33="Offensive Rebound",1),"")</f>
        <v/>
      </c>
      <c r="T33" s="16" t="str" cm="1">
        <f t="array" ref="T33">IFERROR(_xlfn.IFS(I33="Defensive Rebound",1),"")</f>
        <v/>
      </c>
      <c r="U33" s="16" t="str" cm="1">
        <f t="array" ref="U33">IFERROR(_xlfn.IFS(I33="Assist",1),"")</f>
        <v/>
      </c>
      <c r="V33" s="16" t="str" cm="1">
        <f t="array" ref="V33">IFERROR(_xlfn.IFS(I33="Turnover",1),"")</f>
        <v/>
      </c>
      <c r="W33" s="16" t="str" cm="1">
        <f t="array" ref="W33">IFERROR(_xlfn.IFS(I33="Steal",1),"")</f>
        <v/>
      </c>
      <c r="X33" s="16" cm="1">
        <f t="array" ref="X33">IFERROR(_xlfn.IFS(I33="Block",1),"")</f>
        <v>1</v>
      </c>
      <c r="Y33" s="16" t="str" cm="1">
        <f t="array" ref="Y33">IFERROR(_xlfn.IFS(I33="Block Received",1),"")</f>
        <v/>
      </c>
      <c r="Z33" s="16" t="str" cm="1">
        <f t="array" ref="Z33">IFERROR(_xlfn.IFS(I33="Foul",1,I33="Foul Technical",1,I33="Offensive Foul",1),"")</f>
        <v/>
      </c>
      <c r="AA33" s="16" t="str" cm="1">
        <f t="array" ref="AA33">IFERROR(_xlfn.IFS(I33="Foul Received",1),"")</f>
        <v/>
      </c>
      <c r="AB33" s="49" t="str" cm="1">
        <f t="array" ref="AB33">IFERROR(_xlfn.IFS(I33="Starting lineup",C33,I33="Substitution - In",C33),"")</f>
        <v/>
      </c>
      <c r="AC33" s="46" t="str" cm="1">
        <f t="array" ref="AC33">IFERROR(_xlfn.IFS(I33="Finishing lineup",C33,I33="Substitution - Out",C33),"")</f>
        <v/>
      </c>
      <c r="AD33" s="46" t="str" cm="1">
        <f t="array" ref="AD33">IF(AC33&lt;&gt;"",LOOKUP(2,1/((G$2:G32=G33)*(AB$2:AB32&lt;&gt;"")),AB$2:AB32)-AC33,"")</f>
        <v/>
      </c>
      <c r="AE33" s="50" t="str" cm="1">
        <f t="array" ref="AE33">IF(AC33&lt;&gt;"",LOOKUP(2,1/((G$2:G32=G33)*(AB$2:AB32&lt;&gt;"")),AB$2:AB32)-AC33,"")</f>
        <v/>
      </c>
    </row>
    <row r="34" spans="1:31" hidden="1" x14ac:dyDescent="0.35">
      <c r="A34" s="19">
        <v>1</v>
      </c>
      <c r="B34" s="19">
        <v>33</v>
      </c>
      <c r="C34" s="47">
        <v>5.2199074074074075E-3</v>
      </c>
      <c r="D34" s="16">
        <f t="shared" si="0"/>
        <v>7</v>
      </c>
      <c r="E34" s="16">
        <f t="shared" si="1"/>
        <v>31</v>
      </c>
      <c r="F34" s="19" t="s">
        <v>46</v>
      </c>
      <c r="G34" s="19" t="s">
        <v>120</v>
      </c>
      <c r="H34" s="16" t="str">
        <f>_xlfn.XLOOKUP(G34,'1-Players'!$A$2:$A$27,'1-Players'!$D$2:$D$27,"")</f>
        <v>TEAM - Manresa</v>
      </c>
      <c r="I34" s="19" t="s">
        <v>109</v>
      </c>
      <c r="J34" s="19"/>
      <c r="K34" s="16" t="str" cm="1">
        <f t="array" ref="K34">IFERROR(_xlfn.IFS(I34="Free Throw",1,I34="2-Point Shot",2,I34="Dunk",2,I34="3-Point Shot",3),"")</f>
        <v/>
      </c>
      <c r="L34" s="16" t="str" cm="1">
        <f t="array" ref="L34">IFERROR(_xlfn.IFS(J34="Made",1,J34="Missed",0),"")</f>
        <v/>
      </c>
      <c r="M34" s="16" t="str">
        <f t="shared" si="2"/>
        <v/>
      </c>
      <c r="R34" s="16" t="str">
        <f t="shared" si="3"/>
        <v/>
      </c>
      <c r="S34" s="16" cm="1">
        <f t="array" ref="S34">IFERROR(_xlfn.IFS(I34="Offensive Rebound",1),"")</f>
        <v>1</v>
      </c>
      <c r="T34" s="16" t="str" cm="1">
        <f t="array" ref="T34">IFERROR(_xlfn.IFS(I34="Defensive Rebound",1),"")</f>
        <v/>
      </c>
      <c r="U34" s="16" t="str" cm="1">
        <f t="array" ref="U34">IFERROR(_xlfn.IFS(I34="Assist",1),"")</f>
        <v/>
      </c>
      <c r="V34" s="16" t="str" cm="1">
        <f t="array" ref="V34">IFERROR(_xlfn.IFS(I34="Turnover",1),"")</f>
        <v/>
      </c>
      <c r="W34" s="16" t="str" cm="1">
        <f t="array" ref="W34">IFERROR(_xlfn.IFS(I34="Steal",1),"")</f>
        <v/>
      </c>
      <c r="X34" s="16" t="str" cm="1">
        <f t="array" ref="X34">IFERROR(_xlfn.IFS(I34="Block",1),"")</f>
        <v/>
      </c>
      <c r="Y34" s="16" t="str" cm="1">
        <f t="array" ref="Y34">IFERROR(_xlfn.IFS(I34="Block Received",1),"")</f>
        <v/>
      </c>
      <c r="Z34" s="16" t="str" cm="1">
        <f t="array" ref="Z34">IFERROR(_xlfn.IFS(I34="Foul",1,I34="Foul Technical",1,I34="Offensive Foul",1),"")</f>
        <v/>
      </c>
      <c r="AA34" s="16" t="str" cm="1">
        <f t="array" ref="AA34">IFERROR(_xlfn.IFS(I34="Foul Received",1),"")</f>
        <v/>
      </c>
      <c r="AB34" s="49" t="str" cm="1">
        <f t="array" ref="AB34">IFERROR(_xlfn.IFS(I34="Starting lineup",C34,I34="Substitution - In",C34),"")</f>
        <v/>
      </c>
      <c r="AC34" s="46" t="str" cm="1">
        <f t="array" ref="AC34">IFERROR(_xlfn.IFS(I34="Finishing lineup",C34,I34="Substitution - Out",C34),"")</f>
        <v/>
      </c>
      <c r="AD34" s="46" t="str" cm="1">
        <f t="array" ref="AD34">IF(AC34&lt;&gt;"",LOOKUP(2,1/((G$2:G33=G34)*(AB$2:AB33&lt;&gt;"")),AB$2:AB33)-AC34,"")</f>
        <v/>
      </c>
      <c r="AE34" s="50" t="str" cm="1">
        <f t="array" ref="AE34">IF(AC34&lt;&gt;"",LOOKUP(2,1/((G$2:G33=G34)*(AB$2:AB33&lt;&gt;"")),AB$2:AB33)-AC34,"")</f>
        <v/>
      </c>
    </row>
    <row r="35" spans="1:31" hidden="1" x14ac:dyDescent="0.35">
      <c r="A35" s="19">
        <v>1</v>
      </c>
      <c r="B35" s="19">
        <v>34</v>
      </c>
      <c r="C35" s="47">
        <v>5.2199074074074075E-3</v>
      </c>
      <c r="D35" s="16">
        <f t="shared" si="0"/>
        <v>7</v>
      </c>
      <c r="E35" s="16">
        <f t="shared" si="1"/>
        <v>31</v>
      </c>
      <c r="F35" s="19" t="s">
        <v>16</v>
      </c>
      <c r="G35" s="19" t="s">
        <v>25</v>
      </c>
      <c r="H35" s="16" t="str">
        <f>_xlfn.XLOOKUP(G35,'1-Players'!$A$2:$A$27,'1-Players'!$D$2:$D$27,"")</f>
        <v>Atoumane Diagne</v>
      </c>
      <c r="I35" s="19" t="s">
        <v>106</v>
      </c>
      <c r="J35" s="19"/>
      <c r="K35" s="16" t="str" cm="1">
        <f t="array" ref="K35">IFERROR(_xlfn.IFS(I35="Free Throw",1,I35="2-Point Shot",2,I35="Dunk",2,I35="3-Point Shot",3),"")</f>
        <v/>
      </c>
      <c r="L35" s="16" t="str" cm="1">
        <f t="array" ref="L35">IFERROR(_xlfn.IFS(J35="Made",1,J35="Missed",0),"")</f>
        <v/>
      </c>
      <c r="M35" s="16" t="str">
        <f t="shared" si="2"/>
        <v/>
      </c>
      <c r="R35" s="16" t="str">
        <f t="shared" si="3"/>
        <v/>
      </c>
      <c r="S35" s="16" t="str" cm="1">
        <f t="array" ref="S35">IFERROR(_xlfn.IFS(I35="Offensive Rebound",1),"")</f>
        <v/>
      </c>
      <c r="T35" s="16" t="str" cm="1">
        <f t="array" ref="T35">IFERROR(_xlfn.IFS(I35="Defensive Rebound",1),"")</f>
        <v/>
      </c>
      <c r="U35" s="16" t="str" cm="1">
        <f t="array" ref="U35">IFERROR(_xlfn.IFS(I35="Assist",1),"")</f>
        <v/>
      </c>
      <c r="V35" s="16" t="str" cm="1">
        <f t="array" ref="V35">IFERROR(_xlfn.IFS(I35="Turnover",1),"")</f>
        <v/>
      </c>
      <c r="W35" s="16" t="str" cm="1">
        <f t="array" ref="W35">IFERROR(_xlfn.IFS(I35="Steal",1),"")</f>
        <v/>
      </c>
      <c r="X35" s="16" t="str" cm="1">
        <f t="array" ref="X35">IFERROR(_xlfn.IFS(I35="Block",1),"")</f>
        <v/>
      </c>
      <c r="Y35" s="16" t="str" cm="1">
        <f t="array" ref="Y35">IFERROR(_xlfn.IFS(I35="Block Received",1),"")</f>
        <v/>
      </c>
      <c r="Z35" s="16" cm="1">
        <f t="array" ref="Z35">IFERROR(_xlfn.IFS(I35="Foul",1,I35="Foul Technical",1,I35="Offensive Foul",1),"")</f>
        <v>1</v>
      </c>
      <c r="AA35" s="16" t="str" cm="1">
        <f t="array" ref="AA35">IFERROR(_xlfn.IFS(I35="Foul Received",1),"")</f>
        <v/>
      </c>
      <c r="AB35" s="49" t="str" cm="1">
        <f t="array" ref="AB35">IFERROR(_xlfn.IFS(I35="Starting lineup",C35,I35="Substitution - In",C35),"")</f>
        <v/>
      </c>
      <c r="AC35" s="46" t="str" cm="1">
        <f t="array" ref="AC35">IFERROR(_xlfn.IFS(I35="Finishing lineup",C35,I35="Substitution - Out",C35),"")</f>
        <v/>
      </c>
      <c r="AD35" s="46" t="str" cm="1">
        <f t="array" ref="AD35">IF(AC35&lt;&gt;"",LOOKUP(2,1/((G$2:G34=G35)*(AB$2:AB34&lt;&gt;"")),AB$2:AB34)-AC35,"")</f>
        <v/>
      </c>
      <c r="AE35" s="50" t="str" cm="1">
        <f t="array" ref="AE35">IF(AC35&lt;&gt;"",LOOKUP(2,1/((G$2:G34=G35)*(AB$2:AB34&lt;&gt;"")),AB$2:AB34)-AC35,"")</f>
        <v/>
      </c>
    </row>
    <row r="36" spans="1:31" hidden="1" x14ac:dyDescent="0.35">
      <c r="A36" s="19">
        <v>1</v>
      </c>
      <c r="B36" s="19">
        <v>35</v>
      </c>
      <c r="C36" s="47">
        <v>5.2199074074074075E-3</v>
      </c>
      <c r="D36" s="16">
        <f t="shared" si="0"/>
        <v>7</v>
      </c>
      <c r="E36" s="16">
        <f t="shared" si="1"/>
        <v>31</v>
      </c>
      <c r="F36" s="19" t="s">
        <v>46</v>
      </c>
      <c r="G36" s="19" t="s">
        <v>7</v>
      </c>
      <c r="H36" s="16" t="str">
        <f>_xlfn.XLOOKUP(G36,'1-Players'!$A$2:$A$27,'1-Players'!$D$2:$D$27,"")</f>
        <v>Álex Reyes</v>
      </c>
      <c r="I36" s="19" t="s">
        <v>108</v>
      </c>
      <c r="J36" s="19"/>
      <c r="K36" s="16" t="str" cm="1">
        <f t="array" ref="K36">IFERROR(_xlfn.IFS(I36="Free Throw",1,I36="2-Point Shot",2,I36="Dunk",2,I36="3-Point Shot",3),"")</f>
        <v/>
      </c>
      <c r="L36" s="16" t="str" cm="1">
        <f t="array" ref="L36">IFERROR(_xlfn.IFS(J36="Made",1,J36="Missed",0),"")</f>
        <v/>
      </c>
      <c r="M36" s="16" t="str">
        <f t="shared" si="2"/>
        <v/>
      </c>
      <c r="R36" s="16" t="str">
        <f t="shared" si="3"/>
        <v/>
      </c>
      <c r="S36" s="16" t="str" cm="1">
        <f t="array" ref="S36">IFERROR(_xlfn.IFS(I36="Offensive Rebound",1),"")</f>
        <v/>
      </c>
      <c r="T36" s="16" t="str" cm="1">
        <f t="array" ref="T36">IFERROR(_xlfn.IFS(I36="Defensive Rebound",1),"")</f>
        <v/>
      </c>
      <c r="U36" s="16" t="str" cm="1">
        <f t="array" ref="U36">IFERROR(_xlfn.IFS(I36="Assist",1),"")</f>
        <v/>
      </c>
      <c r="V36" s="16" t="str" cm="1">
        <f t="array" ref="V36">IFERROR(_xlfn.IFS(I36="Turnover",1),"")</f>
        <v/>
      </c>
      <c r="W36" s="16" t="str" cm="1">
        <f t="array" ref="W36">IFERROR(_xlfn.IFS(I36="Steal",1),"")</f>
        <v/>
      </c>
      <c r="X36" s="16" t="str" cm="1">
        <f t="array" ref="X36">IFERROR(_xlfn.IFS(I36="Block",1),"")</f>
        <v/>
      </c>
      <c r="Y36" s="16" t="str" cm="1">
        <f t="array" ref="Y36">IFERROR(_xlfn.IFS(I36="Block Received",1),"")</f>
        <v/>
      </c>
      <c r="Z36" s="16" t="str" cm="1">
        <f t="array" ref="Z36">IFERROR(_xlfn.IFS(I36="Foul",1,I36="Foul Technical",1,I36="Offensive Foul",1),"")</f>
        <v/>
      </c>
      <c r="AA36" s="16" cm="1">
        <f t="array" ref="AA36">IFERROR(_xlfn.IFS(I36="Foul Received",1),"")</f>
        <v>1</v>
      </c>
      <c r="AB36" s="49" t="str" cm="1">
        <f t="array" ref="AB36">IFERROR(_xlfn.IFS(I36="Starting lineup",C36,I36="Substitution - In",C36),"")</f>
        <v/>
      </c>
      <c r="AC36" s="46" t="str" cm="1">
        <f t="array" ref="AC36">IFERROR(_xlfn.IFS(I36="Finishing lineup",C36,I36="Substitution - Out",C36),"")</f>
        <v/>
      </c>
      <c r="AD36" s="46" t="str" cm="1">
        <f t="array" ref="AD36">IF(AC36&lt;&gt;"",LOOKUP(2,1/((G$2:G35=G36)*(AB$2:AB35&lt;&gt;"")),AB$2:AB35)-AC36,"")</f>
        <v/>
      </c>
      <c r="AE36" s="50" t="str" cm="1">
        <f t="array" ref="AE36">IF(AC36&lt;&gt;"",LOOKUP(2,1/((G$2:G35=G36)*(AB$2:AB35&lt;&gt;"")),AB$2:AB35)-AC36,"")</f>
        <v/>
      </c>
    </row>
    <row r="37" spans="1:31" hidden="1" x14ac:dyDescent="0.35">
      <c r="A37" s="19">
        <v>1</v>
      </c>
      <c r="B37" s="19">
        <v>36</v>
      </c>
      <c r="C37" s="47">
        <v>5.115740740740741E-3</v>
      </c>
      <c r="D37" s="16">
        <f t="shared" si="0"/>
        <v>7</v>
      </c>
      <c r="E37" s="16">
        <f t="shared" si="1"/>
        <v>22</v>
      </c>
      <c r="F37" s="19" t="s">
        <v>46</v>
      </c>
      <c r="G37" s="19" t="s">
        <v>7</v>
      </c>
      <c r="H37" s="16" t="str">
        <f>_xlfn.XLOOKUP(G37,'1-Players'!$A$2:$A$27,'1-Players'!$D$2:$D$27,"")</f>
        <v>Álex Reyes</v>
      </c>
      <c r="I37" s="19" t="s">
        <v>82</v>
      </c>
      <c r="J37" s="19" t="s">
        <v>60</v>
      </c>
      <c r="K37" s="16" cm="1">
        <f t="array" ref="K37">IFERROR(_xlfn.IFS(I37="Free Throw",1,I37="2-Point Shot",2,I37="Dunk",2,I37="3-Point Shot",3),"")</f>
        <v>2</v>
      </c>
      <c r="L37" s="16" cm="1">
        <f t="array" ref="L37">IFERROR(_xlfn.IFS(J37="Made",1,J37="Missed",0),"")</f>
        <v>1</v>
      </c>
      <c r="M37" s="16">
        <f t="shared" si="2"/>
        <v>2</v>
      </c>
      <c r="N37" s="16" t="s">
        <v>177</v>
      </c>
      <c r="O37" s="16" t="s">
        <v>189</v>
      </c>
      <c r="P37" s="16">
        <v>5</v>
      </c>
      <c r="Q37" s="16" t="s">
        <v>102</v>
      </c>
      <c r="R37" s="16" t="str">
        <f t="shared" si="3"/>
        <v>S</v>
      </c>
      <c r="S37" s="16" t="str" cm="1">
        <f t="array" ref="S37">IFERROR(_xlfn.IFS(I37="Offensive Rebound",1),"")</f>
        <v/>
      </c>
      <c r="T37" s="16" t="str" cm="1">
        <f t="array" ref="T37">IFERROR(_xlfn.IFS(I37="Defensive Rebound",1),"")</f>
        <v/>
      </c>
      <c r="U37" s="16" t="str" cm="1">
        <f t="array" ref="U37">IFERROR(_xlfn.IFS(I37="Assist",1),"")</f>
        <v/>
      </c>
      <c r="V37" s="16" t="str" cm="1">
        <f t="array" ref="V37">IFERROR(_xlfn.IFS(I37="Turnover",1),"")</f>
        <v/>
      </c>
      <c r="W37" s="16" t="str" cm="1">
        <f t="array" ref="W37">IFERROR(_xlfn.IFS(I37="Steal",1),"")</f>
        <v/>
      </c>
      <c r="X37" s="16" t="str" cm="1">
        <f t="array" ref="X37">IFERROR(_xlfn.IFS(I37="Block",1),"")</f>
        <v/>
      </c>
      <c r="Y37" s="16" t="str" cm="1">
        <f t="array" ref="Y37">IFERROR(_xlfn.IFS(I37="Block Received",1),"")</f>
        <v/>
      </c>
      <c r="Z37" s="16" t="str" cm="1">
        <f t="array" ref="Z37">IFERROR(_xlfn.IFS(I37="Foul",1,I37="Foul Technical",1,I37="Offensive Foul",1),"")</f>
        <v/>
      </c>
      <c r="AA37" s="16" t="str" cm="1">
        <f t="array" ref="AA37">IFERROR(_xlfn.IFS(I37="Foul Received",1),"")</f>
        <v/>
      </c>
      <c r="AB37" s="49" t="str" cm="1">
        <f t="array" ref="AB37">IFERROR(_xlfn.IFS(I37="Starting lineup",C37,I37="Substitution - In",C37),"")</f>
        <v/>
      </c>
      <c r="AC37" s="46" t="str" cm="1">
        <f t="array" ref="AC37">IFERROR(_xlfn.IFS(I37="Finishing lineup",C37,I37="Substitution - Out",C37),"")</f>
        <v/>
      </c>
      <c r="AD37" s="46" t="str" cm="1">
        <f t="array" ref="AD37">IF(AC37&lt;&gt;"",LOOKUP(2,1/((G$2:G36=G37)*(AB$2:AB36&lt;&gt;"")),AB$2:AB36)-AC37,"")</f>
        <v/>
      </c>
      <c r="AE37" s="50" t="str" cm="1">
        <f t="array" ref="AE37">IF(AC37&lt;&gt;"",LOOKUP(2,1/((G$2:G36=G37)*(AB$2:AB36&lt;&gt;"")),AB$2:AB36)-AC37,"")</f>
        <v/>
      </c>
    </row>
    <row r="38" spans="1:31" hidden="1" x14ac:dyDescent="0.35">
      <c r="A38" s="19">
        <v>1</v>
      </c>
      <c r="B38" s="19">
        <v>37</v>
      </c>
      <c r="C38" s="47">
        <v>5.115740740740741E-3</v>
      </c>
      <c r="D38" s="16">
        <f t="shared" si="0"/>
        <v>7</v>
      </c>
      <c r="E38" s="16">
        <f t="shared" si="1"/>
        <v>22</v>
      </c>
      <c r="F38" s="19" t="s">
        <v>46</v>
      </c>
      <c r="G38" s="19" t="s">
        <v>73</v>
      </c>
      <c r="H38" s="16" t="str">
        <f>_xlfn.XLOOKUP(G38,'1-Players'!$A$2:$A$27,'1-Players'!$D$2:$D$27,"")</f>
        <v>Hugo Benítez</v>
      </c>
      <c r="I38" s="19" t="s">
        <v>61</v>
      </c>
      <c r="J38" s="19"/>
      <c r="K38" s="16" t="str" cm="1">
        <f t="array" ref="K38">IFERROR(_xlfn.IFS(I38="Free Throw",1,I38="2-Point Shot",2,I38="Dunk",2,I38="3-Point Shot",3),"")</f>
        <v/>
      </c>
      <c r="L38" s="16" t="str" cm="1">
        <f t="array" ref="L38">IFERROR(_xlfn.IFS(J38="Made",1,J38="Missed",0),"")</f>
        <v/>
      </c>
      <c r="M38" s="16" t="str">
        <f t="shared" si="2"/>
        <v/>
      </c>
      <c r="R38" s="16" t="str">
        <f t="shared" si="3"/>
        <v/>
      </c>
      <c r="S38" s="16" t="str" cm="1">
        <f t="array" ref="S38">IFERROR(_xlfn.IFS(I38="Offensive Rebound",1),"")</f>
        <v/>
      </c>
      <c r="T38" s="16" t="str" cm="1">
        <f t="array" ref="T38">IFERROR(_xlfn.IFS(I38="Defensive Rebound",1),"")</f>
        <v/>
      </c>
      <c r="U38" s="16" cm="1">
        <f t="array" ref="U38">IFERROR(_xlfn.IFS(I38="Assist",1),"")</f>
        <v>1</v>
      </c>
      <c r="V38" s="16" t="str" cm="1">
        <f t="array" ref="V38">IFERROR(_xlfn.IFS(I38="Turnover",1),"")</f>
        <v/>
      </c>
      <c r="W38" s="16" t="str" cm="1">
        <f t="array" ref="W38">IFERROR(_xlfn.IFS(I38="Steal",1),"")</f>
        <v/>
      </c>
      <c r="X38" s="16" t="str" cm="1">
        <f t="array" ref="X38">IFERROR(_xlfn.IFS(I38="Block",1),"")</f>
        <v/>
      </c>
      <c r="Y38" s="16" t="str" cm="1">
        <f t="array" ref="Y38">IFERROR(_xlfn.IFS(I38="Block Received",1),"")</f>
        <v/>
      </c>
      <c r="Z38" s="16" t="str" cm="1">
        <f t="array" ref="Z38">IFERROR(_xlfn.IFS(I38="Foul",1,I38="Foul Technical",1,I38="Offensive Foul",1),"")</f>
        <v/>
      </c>
      <c r="AA38" s="16" t="str" cm="1">
        <f t="array" ref="AA38">IFERROR(_xlfn.IFS(I38="Foul Received",1),"")</f>
        <v/>
      </c>
      <c r="AB38" s="49" t="str" cm="1">
        <f t="array" ref="AB38">IFERROR(_xlfn.IFS(I38="Starting lineup",C38,I38="Substitution - In",C38),"")</f>
        <v/>
      </c>
      <c r="AC38" s="46" t="str" cm="1">
        <f t="array" ref="AC38">IFERROR(_xlfn.IFS(I38="Finishing lineup",C38,I38="Substitution - Out",C38),"")</f>
        <v/>
      </c>
      <c r="AD38" s="46" t="str" cm="1">
        <f t="array" ref="AD38">IF(AC38&lt;&gt;"",LOOKUP(2,1/((G$2:G37=G38)*(AB$2:AB37&lt;&gt;"")),AB$2:AB37)-AC38,"")</f>
        <v/>
      </c>
      <c r="AE38" s="50" t="str" cm="1">
        <f t="array" ref="AE38">IF(AC38&lt;&gt;"",LOOKUP(2,1/((G$2:G37=G38)*(AB$2:AB37&lt;&gt;"")),AB$2:AB37)-AC38,"")</f>
        <v/>
      </c>
    </row>
    <row r="39" spans="1:31" hidden="1" x14ac:dyDescent="0.35">
      <c r="A39" s="19">
        <v>1</v>
      </c>
      <c r="B39" s="19">
        <v>38</v>
      </c>
      <c r="C39" s="47">
        <v>4.8842592592592592E-3</v>
      </c>
      <c r="D39" s="16">
        <f t="shared" si="0"/>
        <v>7</v>
      </c>
      <c r="E39" s="16">
        <f t="shared" si="1"/>
        <v>2</v>
      </c>
      <c r="F39" s="19" t="s">
        <v>46</v>
      </c>
      <c r="G39" s="19" t="s">
        <v>13</v>
      </c>
      <c r="H39" s="16" t="str">
        <f>_xlfn.XLOOKUP(G39,'1-Players'!$A$2:$A$27,'1-Players'!$D$2:$D$27,"")</f>
        <v>Retin Obasohan</v>
      </c>
      <c r="I39" s="19" t="s">
        <v>106</v>
      </c>
      <c r="J39" s="19" t="s">
        <v>107</v>
      </c>
      <c r="K39" s="16" t="str" cm="1">
        <f t="array" ref="K39">IFERROR(_xlfn.IFS(I39="Free Throw",1,I39="2-Point Shot",2,I39="Dunk",2,I39="3-Point Shot",3),"")</f>
        <v/>
      </c>
      <c r="L39" s="16" t="str" cm="1">
        <f t="array" ref="L39">IFERROR(_xlfn.IFS(J39="Made",1,J39="Missed",0),"")</f>
        <v/>
      </c>
      <c r="M39" s="16" t="str">
        <f t="shared" si="2"/>
        <v/>
      </c>
      <c r="R39" s="16" t="str">
        <f t="shared" si="3"/>
        <v/>
      </c>
      <c r="S39" s="16" t="str" cm="1">
        <f t="array" ref="S39">IFERROR(_xlfn.IFS(I39="Offensive Rebound",1),"")</f>
        <v/>
      </c>
      <c r="T39" s="16" t="str" cm="1">
        <f t="array" ref="T39">IFERROR(_xlfn.IFS(I39="Defensive Rebound",1),"")</f>
        <v/>
      </c>
      <c r="U39" s="16" t="str" cm="1">
        <f t="array" ref="U39">IFERROR(_xlfn.IFS(I39="Assist",1),"")</f>
        <v/>
      </c>
      <c r="V39" s="16" t="str" cm="1">
        <f t="array" ref="V39">IFERROR(_xlfn.IFS(I39="Turnover",1),"")</f>
        <v/>
      </c>
      <c r="W39" s="16" t="str" cm="1">
        <f t="array" ref="W39">IFERROR(_xlfn.IFS(I39="Steal",1),"")</f>
        <v/>
      </c>
      <c r="X39" s="16" t="str" cm="1">
        <f t="array" ref="X39">IFERROR(_xlfn.IFS(I39="Block",1),"")</f>
        <v/>
      </c>
      <c r="Y39" s="16" t="str" cm="1">
        <f t="array" ref="Y39">IFERROR(_xlfn.IFS(I39="Block Received",1),"")</f>
        <v/>
      </c>
      <c r="Z39" s="16" cm="1">
        <f t="array" ref="Z39">IFERROR(_xlfn.IFS(I39="Foul",1,I39="Foul Technical",1,I39="Offensive Foul",1),"")</f>
        <v>1</v>
      </c>
      <c r="AA39" s="16" t="str" cm="1">
        <f t="array" ref="AA39">IFERROR(_xlfn.IFS(I39="Foul Received",1),"")</f>
        <v/>
      </c>
      <c r="AB39" s="49" t="str" cm="1">
        <f t="array" ref="AB39">IFERROR(_xlfn.IFS(I39="Starting lineup",C39,I39="Substitution - In",C39),"")</f>
        <v/>
      </c>
      <c r="AC39" s="46" t="str" cm="1">
        <f t="array" ref="AC39">IFERROR(_xlfn.IFS(I39="Finishing lineup",C39,I39="Substitution - Out",C39),"")</f>
        <v/>
      </c>
      <c r="AD39" s="46" t="str" cm="1">
        <f t="array" ref="AD39">IF(AC39&lt;&gt;"",LOOKUP(2,1/((G$2:G38=G39)*(AB$2:AB38&lt;&gt;"")),AB$2:AB38)-AC39,"")</f>
        <v/>
      </c>
      <c r="AE39" s="50" t="str" cm="1">
        <f t="array" ref="AE39">IF(AC39&lt;&gt;"",LOOKUP(2,1/((G$2:G38=G39)*(AB$2:AB38&lt;&gt;"")),AB$2:AB38)-AC39,"")</f>
        <v/>
      </c>
    </row>
    <row r="40" spans="1:31" hidden="1" x14ac:dyDescent="0.35">
      <c r="A40" s="19">
        <v>1</v>
      </c>
      <c r="B40" s="19">
        <v>39</v>
      </c>
      <c r="C40" s="47">
        <v>4.8842592592592592E-3</v>
      </c>
      <c r="D40" s="16">
        <f t="shared" si="0"/>
        <v>7</v>
      </c>
      <c r="E40" s="16">
        <f t="shared" si="1"/>
        <v>2</v>
      </c>
      <c r="F40" s="19" t="s">
        <v>16</v>
      </c>
      <c r="G40" s="19" t="s">
        <v>15</v>
      </c>
      <c r="H40" s="16" t="str">
        <f>_xlfn.XLOOKUP(G40,'1-Players'!$A$2:$A$27,'1-Players'!$D$2:$D$27,"")</f>
        <v>James Batemon</v>
      </c>
      <c r="I40" s="19" t="s">
        <v>108</v>
      </c>
      <c r="J40" s="19"/>
      <c r="K40" s="16" t="str" cm="1">
        <f t="array" ref="K40">IFERROR(_xlfn.IFS(I40="Free Throw",1,I40="2-Point Shot",2,I40="Dunk",2,I40="3-Point Shot",3),"")</f>
        <v/>
      </c>
      <c r="L40" s="16" t="str" cm="1">
        <f t="array" ref="L40">IFERROR(_xlfn.IFS(J40="Made",1,J40="Missed",0),"")</f>
        <v/>
      </c>
      <c r="M40" s="16" t="str">
        <f t="shared" si="2"/>
        <v/>
      </c>
      <c r="R40" s="16" t="str">
        <f t="shared" si="3"/>
        <v/>
      </c>
      <c r="S40" s="16" t="str" cm="1">
        <f t="array" ref="S40">IFERROR(_xlfn.IFS(I40="Offensive Rebound",1),"")</f>
        <v/>
      </c>
      <c r="T40" s="16" t="str" cm="1">
        <f t="array" ref="T40">IFERROR(_xlfn.IFS(I40="Defensive Rebound",1),"")</f>
        <v/>
      </c>
      <c r="U40" s="16" t="str" cm="1">
        <f t="array" ref="U40">IFERROR(_xlfn.IFS(I40="Assist",1),"")</f>
        <v/>
      </c>
      <c r="V40" s="16" t="str" cm="1">
        <f t="array" ref="V40">IFERROR(_xlfn.IFS(I40="Turnover",1),"")</f>
        <v/>
      </c>
      <c r="W40" s="16" t="str" cm="1">
        <f t="array" ref="W40">IFERROR(_xlfn.IFS(I40="Steal",1),"")</f>
        <v/>
      </c>
      <c r="X40" s="16" t="str" cm="1">
        <f t="array" ref="X40">IFERROR(_xlfn.IFS(I40="Block",1),"")</f>
        <v/>
      </c>
      <c r="Y40" s="16" t="str" cm="1">
        <f t="array" ref="Y40">IFERROR(_xlfn.IFS(I40="Block Received",1),"")</f>
        <v/>
      </c>
      <c r="Z40" s="16" t="str" cm="1">
        <f t="array" ref="Z40">IFERROR(_xlfn.IFS(I40="Foul",1,I40="Foul Technical",1,I40="Offensive Foul",1),"")</f>
        <v/>
      </c>
      <c r="AA40" s="16" cm="1">
        <f t="array" ref="AA40">IFERROR(_xlfn.IFS(I40="Foul Received",1),"")</f>
        <v>1</v>
      </c>
      <c r="AB40" s="49" t="str" cm="1">
        <f t="array" ref="AB40">IFERROR(_xlfn.IFS(I40="Starting lineup",C40,I40="Substitution - In",C40),"")</f>
        <v/>
      </c>
      <c r="AC40" s="46" t="str" cm="1">
        <f t="array" ref="AC40">IFERROR(_xlfn.IFS(I40="Finishing lineup",C40,I40="Substitution - Out",C40),"")</f>
        <v/>
      </c>
      <c r="AD40" s="46" t="str" cm="1">
        <f t="array" ref="AD40">IF(AC40&lt;&gt;"",LOOKUP(2,1/((G$2:G39=G40)*(AB$2:AB39&lt;&gt;"")),AB$2:AB39)-AC40,"")</f>
        <v/>
      </c>
      <c r="AE40" s="50" t="str" cm="1">
        <f t="array" ref="AE40">IF(AC40&lt;&gt;"",LOOKUP(2,1/((G$2:G39=G40)*(AB$2:AB39&lt;&gt;"")),AB$2:AB39)-AC40,"")</f>
        <v/>
      </c>
    </row>
    <row r="41" spans="1:31" hidden="1" x14ac:dyDescent="0.35">
      <c r="A41" s="19">
        <v>1</v>
      </c>
      <c r="B41" s="19">
        <v>40</v>
      </c>
      <c r="C41" s="47">
        <v>4.8842592592592592E-3</v>
      </c>
      <c r="D41" s="16">
        <f t="shared" si="0"/>
        <v>7</v>
      </c>
      <c r="E41" s="16">
        <f t="shared" si="1"/>
        <v>2</v>
      </c>
      <c r="F41" s="19" t="s">
        <v>16</v>
      </c>
      <c r="G41" s="19" t="s">
        <v>15</v>
      </c>
      <c r="H41" s="16" t="str">
        <f>_xlfn.XLOOKUP(G41,'1-Players'!$A$2:$A$27,'1-Players'!$D$2:$D$27,"")</f>
        <v>James Batemon</v>
      </c>
      <c r="I41" s="19" t="s">
        <v>85</v>
      </c>
      <c r="J41" s="19" t="s">
        <v>63</v>
      </c>
      <c r="K41" s="16" cm="1">
        <f t="array" ref="K41">IFERROR(_xlfn.IFS(I41="Free Throw",1,I41="2-Point Shot",2,I41="Dunk",2,I41="3-Point Shot",3),"")</f>
        <v>1</v>
      </c>
      <c r="L41" s="16" cm="1">
        <f t="array" ref="L41">IFERROR(_xlfn.IFS(J41="Made",1,J41="Missed",0),"")</f>
        <v>0</v>
      </c>
      <c r="M41" s="16">
        <f t="shared" si="2"/>
        <v>0</v>
      </c>
      <c r="R41" s="16" t="str">
        <f t="shared" si="3"/>
        <v/>
      </c>
      <c r="S41" s="16" t="str" cm="1">
        <f t="array" ref="S41">IFERROR(_xlfn.IFS(I41="Offensive Rebound",1),"")</f>
        <v/>
      </c>
      <c r="T41" s="16" t="str" cm="1">
        <f t="array" ref="T41">IFERROR(_xlfn.IFS(I41="Defensive Rebound",1),"")</f>
        <v/>
      </c>
      <c r="U41" s="16" t="str" cm="1">
        <f t="array" ref="U41">IFERROR(_xlfn.IFS(I41="Assist",1),"")</f>
        <v/>
      </c>
      <c r="V41" s="16" t="str" cm="1">
        <f t="array" ref="V41">IFERROR(_xlfn.IFS(I41="Turnover",1),"")</f>
        <v/>
      </c>
      <c r="W41" s="16" t="str" cm="1">
        <f t="array" ref="W41">IFERROR(_xlfn.IFS(I41="Steal",1),"")</f>
        <v/>
      </c>
      <c r="X41" s="16" t="str" cm="1">
        <f t="array" ref="X41">IFERROR(_xlfn.IFS(I41="Block",1),"")</f>
        <v/>
      </c>
      <c r="Y41" s="16" t="str" cm="1">
        <f t="array" ref="Y41">IFERROR(_xlfn.IFS(I41="Block Received",1),"")</f>
        <v/>
      </c>
      <c r="Z41" s="16" t="str" cm="1">
        <f t="array" ref="Z41">IFERROR(_xlfn.IFS(I41="Foul",1,I41="Foul Technical",1,I41="Offensive Foul",1),"")</f>
        <v/>
      </c>
      <c r="AA41" s="16" t="str" cm="1">
        <f t="array" ref="AA41">IFERROR(_xlfn.IFS(I41="Foul Received",1),"")</f>
        <v/>
      </c>
      <c r="AB41" s="49" t="str" cm="1">
        <f t="array" ref="AB41">IFERROR(_xlfn.IFS(I41="Starting lineup",C41,I41="Substitution - In",C41),"")</f>
        <v/>
      </c>
      <c r="AC41" s="46" t="str" cm="1">
        <f t="array" ref="AC41">IFERROR(_xlfn.IFS(I41="Finishing lineup",C41,I41="Substitution - Out",C41),"")</f>
        <v/>
      </c>
      <c r="AD41" s="46" t="str" cm="1">
        <f t="array" ref="AD41">IF(AC41&lt;&gt;"",LOOKUP(2,1/((G$2:G40=G41)*(AB$2:AB40&lt;&gt;"")),AB$2:AB40)-AC41,"")</f>
        <v/>
      </c>
      <c r="AE41" s="50" t="str" cm="1">
        <f t="array" ref="AE41">IF(AC41&lt;&gt;"",LOOKUP(2,1/((G$2:G40=G41)*(AB$2:AB40&lt;&gt;"")),AB$2:AB40)-AC41,"")</f>
        <v/>
      </c>
    </row>
    <row r="42" spans="1:31" hidden="1" x14ac:dyDescent="0.35">
      <c r="A42" s="19">
        <v>1</v>
      </c>
      <c r="B42" s="19">
        <v>41</v>
      </c>
      <c r="C42" s="47">
        <v>4.8842592592592592E-3</v>
      </c>
      <c r="D42" s="16">
        <f t="shared" si="0"/>
        <v>7</v>
      </c>
      <c r="E42" s="16">
        <f t="shared" si="1"/>
        <v>2</v>
      </c>
      <c r="F42" s="19" t="s">
        <v>16</v>
      </c>
      <c r="G42" s="19" t="s">
        <v>15</v>
      </c>
      <c r="H42" s="16" t="str">
        <f>_xlfn.XLOOKUP(G42,'1-Players'!$A$2:$A$27,'1-Players'!$D$2:$D$27,"")</f>
        <v>James Batemon</v>
      </c>
      <c r="I42" s="19" t="s">
        <v>85</v>
      </c>
      <c r="J42" s="19" t="s">
        <v>60</v>
      </c>
      <c r="K42" s="16" cm="1">
        <f t="array" ref="K42">IFERROR(_xlfn.IFS(I42="Free Throw",1,I42="2-Point Shot",2,I42="Dunk",2,I42="3-Point Shot",3),"")</f>
        <v>1</v>
      </c>
      <c r="L42" s="16" cm="1">
        <f t="array" ref="L42">IFERROR(_xlfn.IFS(J42="Made",1,J42="Missed",0),"")</f>
        <v>1</v>
      </c>
      <c r="M42" s="16">
        <f t="shared" si="2"/>
        <v>1</v>
      </c>
      <c r="R42" s="16" t="str">
        <f t="shared" si="3"/>
        <v>N</v>
      </c>
      <c r="S42" s="16" t="str" cm="1">
        <f t="array" ref="S42">IFERROR(_xlfn.IFS(I42="Offensive Rebound",1),"")</f>
        <v/>
      </c>
      <c r="T42" s="16" t="str" cm="1">
        <f t="array" ref="T42">IFERROR(_xlfn.IFS(I42="Defensive Rebound",1),"")</f>
        <v/>
      </c>
      <c r="U42" s="16" t="str" cm="1">
        <f t="array" ref="U42">IFERROR(_xlfn.IFS(I42="Assist",1),"")</f>
        <v/>
      </c>
      <c r="V42" s="16" t="str" cm="1">
        <f t="array" ref="V42">IFERROR(_xlfn.IFS(I42="Turnover",1),"")</f>
        <v/>
      </c>
      <c r="W42" s="16" t="str" cm="1">
        <f t="array" ref="W42">IFERROR(_xlfn.IFS(I42="Steal",1),"")</f>
        <v/>
      </c>
      <c r="X42" s="16" t="str" cm="1">
        <f t="array" ref="X42">IFERROR(_xlfn.IFS(I42="Block",1),"")</f>
        <v/>
      </c>
      <c r="Y42" s="16" t="str" cm="1">
        <f t="array" ref="Y42">IFERROR(_xlfn.IFS(I42="Block Received",1),"")</f>
        <v/>
      </c>
      <c r="Z42" s="16" t="str" cm="1">
        <f t="array" ref="Z42">IFERROR(_xlfn.IFS(I42="Foul",1,I42="Foul Technical",1,I42="Offensive Foul",1),"")</f>
        <v/>
      </c>
      <c r="AA42" s="16" t="str" cm="1">
        <f t="array" ref="AA42">IFERROR(_xlfn.IFS(I42="Foul Received",1),"")</f>
        <v/>
      </c>
      <c r="AB42" s="49" t="str" cm="1">
        <f t="array" ref="AB42">IFERROR(_xlfn.IFS(I42="Starting lineup",C42,I42="Substitution - In",C42),"")</f>
        <v/>
      </c>
      <c r="AC42" s="46" t="str" cm="1">
        <f t="array" ref="AC42">IFERROR(_xlfn.IFS(I42="Finishing lineup",C42,I42="Substitution - Out",C42),"")</f>
        <v/>
      </c>
      <c r="AD42" s="46" t="str" cm="1">
        <f t="array" ref="AD42">IF(AC42&lt;&gt;"",LOOKUP(2,1/((G$2:G41=G42)*(AB$2:AB41&lt;&gt;"")),AB$2:AB41)-AC42,"")</f>
        <v/>
      </c>
      <c r="AE42" s="50" t="str" cm="1">
        <f t="array" ref="AE42">IF(AC42&lt;&gt;"",LOOKUP(2,1/((G$2:G41=G42)*(AB$2:AB41&lt;&gt;"")),AB$2:AB41)-AC42,"")</f>
        <v/>
      </c>
    </row>
    <row r="43" spans="1:31" hidden="1" x14ac:dyDescent="0.35">
      <c r="A43" s="19">
        <v>1</v>
      </c>
      <c r="B43" s="19">
        <v>42</v>
      </c>
      <c r="C43" s="47">
        <v>4.6990740740740743E-3</v>
      </c>
      <c r="D43" s="16">
        <f t="shared" si="0"/>
        <v>6</v>
      </c>
      <c r="E43" s="16">
        <f t="shared" si="1"/>
        <v>46</v>
      </c>
      <c r="F43" s="19" t="s">
        <v>16</v>
      </c>
      <c r="G43" s="19" t="s">
        <v>25</v>
      </c>
      <c r="H43" s="16" t="str">
        <f>_xlfn.XLOOKUP(G43,'1-Players'!$A$2:$A$27,'1-Players'!$D$2:$D$27,"")</f>
        <v>Atoumane Diagne</v>
      </c>
      <c r="I43" s="19" t="s">
        <v>106</v>
      </c>
      <c r="J43" s="19" t="s">
        <v>107</v>
      </c>
      <c r="K43" s="16" t="str" cm="1">
        <f t="array" ref="K43">IFERROR(_xlfn.IFS(I43="Free Throw",1,I43="2-Point Shot",2,I43="Dunk",2,I43="3-Point Shot",3),"")</f>
        <v/>
      </c>
      <c r="L43" s="16" t="str" cm="1">
        <f t="array" ref="L43">IFERROR(_xlfn.IFS(J43="Made",1,J43="Missed",0),"")</f>
        <v/>
      </c>
      <c r="M43" s="16" t="str">
        <f t="shared" si="2"/>
        <v/>
      </c>
      <c r="R43" s="16" t="str">
        <f t="shared" si="3"/>
        <v/>
      </c>
      <c r="S43" s="16" t="str" cm="1">
        <f t="array" ref="S43">IFERROR(_xlfn.IFS(I43="Offensive Rebound",1),"")</f>
        <v/>
      </c>
      <c r="T43" s="16" t="str" cm="1">
        <f t="array" ref="T43">IFERROR(_xlfn.IFS(I43="Defensive Rebound",1),"")</f>
        <v/>
      </c>
      <c r="U43" s="16" t="str" cm="1">
        <f t="array" ref="U43">IFERROR(_xlfn.IFS(I43="Assist",1),"")</f>
        <v/>
      </c>
      <c r="V43" s="16" t="str" cm="1">
        <f t="array" ref="V43">IFERROR(_xlfn.IFS(I43="Turnover",1),"")</f>
        <v/>
      </c>
      <c r="W43" s="16" t="str" cm="1">
        <f t="array" ref="W43">IFERROR(_xlfn.IFS(I43="Steal",1),"")</f>
        <v/>
      </c>
      <c r="X43" s="16" t="str" cm="1">
        <f t="array" ref="X43">IFERROR(_xlfn.IFS(I43="Block",1),"")</f>
        <v/>
      </c>
      <c r="Y43" s="16" t="str" cm="1">
        <f t="array" ref="Y43">IFERROR(_xlfn.IFS(I43="Block Received",1),"")</f>
        <v/>
      </c>
      <c r="Z43" s="16" cm="1">
        <f t="array" ref="Z43">IFERROR(_xlfn.IFS(I43="Foul",1,I43="Foul Technical",1,I43="Offensive Foul",1),"")</f>
        <v>1</v>
      </c>
      <c r="AA43" s="16" t="str" cm="1">
        <f t="array" ref="AA43">IFERROR(_xlfn.IFS(I43="Foul Received",1),"")</f>
        <v/>
      </c>
      <c r="AB43" s="49" t="str" cm="1">
        <f t="array" ref="AB43">IFERROR(_xlfn.IFS(I43="Starting lineup",C43,I43="Substitution - In",C43),"")</f>
        <v/>
      </c>
      <c r="AC43" s="46" t="str" cm="1">
        <f t="array" ref="AC43">IFERROR(_xlfn.IFS(I43="Finishing lineup",C43,I43="Substitution - Out",C43),"")</f>
        <v/>
      </c>
      <c r="AD43" s="46" t="str" cm="1">
        <f t="array" ref="AD43">IF(AC43&lt;&gt;"",LOOKUP(2,1/((G$2:G42=G43)*(AB$2:AB42&lt;&gt;"")),AB$2:AB42)-AC43,"")</f>
        <v/>
      </c>
      <c r="AE43" s="50" t="str" cm="1">
        <f t="array" ref="AE43">IF(AC43&lt;&gt;"",LOOKUP(2,1/((G$2:G42=G43)*(AB$2:AB42&lt;&gt;"")),AB$2:AB42)-AC43,"")</f>
        <v/>
      </c>
    </row>
    <row r="44" spans="1:31" hidden="1" x14ac:dyDescent="0.35">
      <c r="A44" s="16">
        <v>1</v>
      </c>
      <c r="B44" s="19">
        <v>43</v>
      </c>
      <c r="C44" s="47">
        <v>4.6990740740740743E-3</v>
      </c>
      <c r="D44" s="16">
        <f t="shared" si="0"/>
        <v>6</v>
      </c>
      <c r="E44" s="16">
        <f t="shared" si="1"/>
        <v>46</v>
      </c>
      <c r="F44" s="19" t="s">
        <v>46</v>
      </c>
      <c r="G44" s="19" t="s">
        <v>73</v>
      </c>
      <c r="H44" s="16" t="str">
        <f>_xlfn.XLOOKUP(G44,'1-Players'!$A$2:$A$27,'1-Players'!$D$2:$D$27,"")</f>
        <v>Hugo Benítez</v>
      </c>
      <c r="I44" s="19" t="s">
        <v>108</v>
      </c>
      <c r="J44" s="19"/>
      <c r="K44" s="16" t="str" cm="1">
        <f t="array" ref="K44">IFERROR(_xlfn.IFS(I44="Free Throw",1,I44="2-Point Shot",2,I44="Dunk",2,I44="3-Point Shot",3),"")</f>
        <v/>
      </c>
      <c r="L44" s="16" t="str" cm="1">
        <f t="array" ref="L44">IFERROR(_xlfn.IFS(J44="Made",1,J44="Missed",0),"")</f>
        <v/>
      </c>
      <c r="M44" s="16" t="str">
        <f t="shared" si="2"/>
        <v/>
      </c>
      <c r="R44" s="16" t="str">
        <f t="shared" si="3"/>
        <v/>
      </c>
      <c r="S44" s="16" t="str" cm="1">
        <f t="array" ref="S44">IFERROR(_xlfn.IFS(I44="Offensive Rebound",1),"")</f>
        <v/>
      </c>
      <c r="T44" s="16" t="str" cm="1">
        <f t="array" ref="T44">IFERROR(_xlfn.IFS(I44="Defensive Rebound",1),"")</f>
        <v/>
      </c>
      <c r="U44" s="16" t="str" cm="1">
        <f t="array" ref="U44">IFERROR(_xlfn.IFS(I44="Assist",1),"")</f>
        <v/>
      </c>
      <c r="V44" s="16" t="str" cm="1">
        <f t="array" ref="V44">IFERROR(_xlfn.IFS(I44="Turnover",1),"")</f>
        <v/>
      </c>
      <c r="W44" s="16" t="str" cm="1">
        <f t="array" ref="W44">IFERROR(_xlfn.IFS(I44="Steal",1),"")</f>
        <v/>
      </c>
      <c r="X44" s="16" t="str" cm="1">
        <f t="array" ref="X44">IFERROR(_xlfn.IFS(I44="Block",1),"")</f>
        <v/>
      </c>
      <c r="Y44" s="16" t="str" cm="1">
        <f t="array" ref="Y44">IFERROR(_xlfn.IFS(I44="Block Received",1),"")</f>
        <v/>
      </c>
      <c r="Z44" s="16" t="str" cm="1">
        <f t="array" ref="Z44">IFERROR(_xlfn.IFS(I44="Foul",1,I44="Foul Technical",1,I44="Offensive Foul",1),"")</f>
        <v/>
      </c>
      <c r="AA44" s="16" cm="1">
        <f t="array" ref="AA44">IFERROR(_xlfn.IFS(I44="Foul Received",1),"")</f>
        <v>1</v>
      </c>
      <c r="AB44" s="49" t="str" cm="1">
        <f t="array" ref="AB44">IFERROR(_xlfn.IFS(I44="Starting lineup",C44,I44="Substitution - In",C44),"")</f>
        <v/>
      </c>
      <c r="AC44" s="46" t="str" cm="1">
        <f t="array" ref="AC44">IFERROR(_xlfn.IFS(I44="Finishing lineup",C44,I44="Substitution - Out",C44),"")</f>
        <v/>
      </c>
      <c r="AD44" s="46" t="str" cm="1">
        <f t="array" ref="AD44">IF(AC44&lt;&gt;"",LOOKUP(2,1/((G$2:G43=G44)*(AB$2:AB43&lt;&gt;"")),AB$2:AB43)-AC44,"")</f>
        <v/>
      </c>
      <c r="AE44" s="50" t="str" cm="1">
        <f t="array" ref="AE44">IF(AC44&lt;&gt;"",LOOKUP(2,1/((G$2:G43=G44)*(AB$2:AB43&lt;&gt;"")),AB$2:AB43)-AC44,"")</f>
        <v/>
      </c>
    </row>
    <row r="45" spans="1:31" hidden="1" x14ac:dyDescent="0.35">
      <c r="A45" s="16">
        <v>1</v>
      </c>
      <c r="B45" s="19">
        <v>44</v>
      </c>
      <c r="C45" s="47">
        <v>4.6990740740740743E-3</v>
      </c>
      <c r="D45" s="16">
        <f t="shared" si="0"/>
        <v>6</v>
      </c>
      <c r="E45" s="16">
        <f t="shared" si="1"/>
        <v>46</v>
      </c>
      <c r="F45" s="19" t="s">
        <v>16</v>
      </c>
      <c r="G45" s="19" t="s">
        <v>25</v>
      </c>
      <c r="H45" s="16" t="str">
        <f>_xlfn.XLOOKUP(G45,'1-Players'!$A$2:$A$27,'1-Players'!$D$2:$D$27,"")</f>
        <v>Atoumane Diagne</v>
      </c>
      <c r="I45" s="19" t="s">
        <v>110</v>
      </c>
      <c r="J45" s="19"/>
      <c r="K45" s="16" t="str" cm="1">
        <f t="array" ref="K45">IFERROR(_xlfn.IFS(I45="Free Throw",1,I45="2-Point Shot",2,I45="Dunk",2,I45="3-Point Shot",3),"")</f>
        <v/>
      </c>
      <c r="L45" s="16" t="str" cm="1">
        <f t="array" ref="L45">IFERROR(_xlfn.IFS(J45="Made",1,J45="Missed",0),"")</f>
        <v/>
      </c>
      <c r="M45" s="16" t="str">
        <f t="shared" si="2"/>
        <v/>
      </c>
      <c r="R45" s="16" t="str">
        <f t="shared" si="3"/>
        <v/>
      </c>
      <c r="S45" s="16" t="str" cm="1">
        <f t="array" ref="S45">IFERROR(_xlfn.IFS(I45="Offensive Rebound",1),"")</f>
        <v/>
      </c>
      <c r="T45" s="16" t="str" cm="1">
        <f t="array" ref="T45">IFERROR(_xlfn.IFS(I45="Defensive Rebound",1),"")</f>
        <v/>
      </c>
      <c r="U45" s="16" t="str" cm="1">
        <f t="array" ref="U45">IFERROR(_xlfn.IFS(I45="Assist",1),"")</f>
        <v/>
      </c>
      <c r="V45" s="16" t="str" cm="1">
        <f t="array" ref="V45">IFERROR(_xlfn.IFS(I45="Turnover",1),"")</f>
        <v/>
      </c>
      <c r="W45" s="16" t="str" cm="1">
        <f t="array" ref="W45">IFERROR(_xlfn.IFS(I45="Steal",1),"")</f>
        <v/>
      </c>
      <c r="X45" s="16" t="str" cm="1">
        <f t="array" ref="X45">IFERROR(_xlfn.IFS(I45="Block",1),"")</f>
        <v/>
      </c>
      <c r="Y45" s="16" t="str" cm="1">
        <f t="array" ref="Y45">IFERROR(_xlfn.IFS(I45="Block Received",1),"")</f>
        <v/>
      </c>
      <c r="Z45" s="16" t="str" cm="1">
        <f t="array" ref="Z45">IFERROR(_xlfn.IFS(I45="Foul",1,I45="Foul Technical",1,I45="Offensive Foul",1),"")</f>
        <v/>
      </c>
      <c r="AA45" s="16" t="str" cm="1">
        <f t="array" ref="AA45">IFERROR(_xlfn.IFS(I45="Foul Received",1),"")</f>
        <v/>
      </c>
      <c r="AB45" s="49" t="str" cm="1">
        <f t="array" ref="AB45">IFERROR(_xlfn.IFS(I45="Starting lineup",C45,I45="Substitution - In",C45),"")</f>
        <v/>
      </c>
      <c r="AC45" s="46" cm="1">
        <f t="array" ref="AC45">IFERROR(_xlfn.IFS(I45="Finishing lineup",C45,I45="Substitution - Out",C45),"")</f>
        <v>4.6990740740740743E-3</v>
      </c>
      <c r="AD45" s="46" cm="1">
        <f t="array" ref="AD45">IF(AC45&lt;&gt;"",LOOKUP(2,1/((G$2:G44=G45)*(AB$2:AB44&lt;&gt;"")),AB$2:AB44)-AC45,"")</f>
        <v>2.2453703703703698E-3</v>
      </c>
      <c r="AE45" s="50" cm="1">
        <f t="array" ref="AE45">IF(AC45&lt;&gt;"",LOOKUP(2,1/((G$2:G44=G45)*(AB$2:AB44&lt;&gt;"")),AB$2:AB44)-AC45,"")</f>
        <v>2.2453703703703698E-3</v>
      </c>
    </row>
    <row r="46" spans="1:31" hidden="1" x14ac:dyDescent="0.35">
      <c r="A46" s="16">
        <v>1</v>
      </c>
      <c r="B46" s="19">
        <v>45</v>
      </c>
      <c r="C46" s="47">
        <v>4.6990740740740743E-3</v>
      </c>
      <c r="D46" s="16">
        <f t="shared" si="0"/>
        <v>6</v>
      </c>
      <c r="E46" s="16">
        <f t="shared" si="1"/>
        <v>46</v>
      </c>
      <c r="F46" s="19" t="s">
        <v>16</v>
      </c>
      <c r="G46" s="19" t="s">
        <v>45</v>
      </c>
      <c r="H46" s="16" t="str">
        <f>_xlfn.XLOOKUP(G46,'1-Players'!$A$2:$A$27,'1-Players'!$D$2:$D$27,"")</f>
        <v>Gyorgy Golomán</v>
      </c>
      <c r="I46" s="19" t="s">
        <v>111</v>
      </c>
      <c r="J46" s="19"/>
      <c r="K46" s="16" t="str" cm="1">
        <f t="array" ref="K46">IFERROR(_xlfn.IFS(I46="Free Throw",1,I46="2-Point Shot",2,I46="Dunk",2,I46="3-Point Shot",3),"")</f>
        <v/>
      </c>
      <c r="L46" s="16" t="str" cm="1">
        <f t="array" ref="L46">IFERROR(_xlfn.IFS(J46="Made",1,J46="Missed",0),"")</f>
        <v/>
      </c>
      <c r="M46" s="16" t="str">
        <f t="shared" si="2"/>
        <v/>
      </c>
      <c r="R46" s="16" t="str">
        <f t="shared" si="3"/>
        <v/>
      </c>
      <c r="S46" s="16" t="str" cm="1">
        <f t="array" ref="S46">IFERROR(_xlfn.IFS(I46="Offensive Rebound",1),"")</f>
        <v/>
      </c>
      <c r="T46" s="16" t="str" cm="1">
        <f t="array" ref="T46">IFERROR(_xlfn.IFS(I46="Defensive Rebound",1),"")</f>
        <v/>
      </c>
      <c r="U46" s="16" t="str" cm="1">
        <f t="array" ref="U46">IFERROR(_xlfn.IFS(I46="Assist",1),"")</f>
        <v/>
      </c>
      <c r="V46" s="16" t="str" cm="1">
        <f t="array" ref="V46">IFERROR(_xlfn.IFS(I46="Turnover",1),"")</f>
        <v/>
      </c>
      <c r="W46" s="16" t="str" cm="1">
        <f t="array" ref="W46">IFERROR(_xlfn.IFS(I46="Steal",1),"")</f>
        <v/>
      </c>
      <c r="X46" s="16" t="str" cm="1">
        <f t="array" ref="X46">IFERROR(_xlfn.IFS(I46="Block",1),"")</f>
        <v/>
      </c>
      <c r="Y46" s="16" t="str" cm="1">
        <f t="array" ref="Y46">IFERROR(_xlfn.IFS(I46="Block Received",1),"")</f>
        <v/>
      </c>
      <c r="Z46" s="16" t="str" cm="1">
        <f t="array" ref="Z46">IFERROR(_xlfn.IFS(I46="Foul",1,I46="Foul Technical",1,I46="Offensive Foul",1),"")</f>
        <v/>
      </c>
      <c r="AA46" s="16" t="str" cm="1">
        <f t="array" ref="AA46">IFERROR(_xlfn.IFS(I46="Foul Received",1),"")</f>
        <v/>
      </c>
      <c r="AB46" s="49" cm="1">
        <f t="array" ref="AB46">IFERROR(_xlfn.IFS(I46="Starting lineup",C46,I46="Substitution - In",C46),"")</f>
        <v>4.6990740740740743E-3</v>
      </c>
      <c r="AC46" s="46" t="str" cm="1">
        <f t="array" ref="AC46">IFERROR(_xlfn.IFS(I46="Finishing lineup",C46,I46="Substitution - Out",C46),"")</f>
        <v/>
      </c>
      <c r="AD46" s="46" t="str" cm="1">
        <f t="array" ref="AD46">IF(AC46&lt;&gt;"",LOOKUP(2,1/((G$2:G45=G46)*(AB$2:AB45&lt;&gt;"")),AB$2:AB45)-AC46,"")</f>
        <v/>
      </c>
      <c r="AE46" s="50" t="str" cm="1">
        <f t="array" ref="AE46">IF(AC46&lt;&gt;"",LOOKUP(2,1/((G$2:G45=G46)*(AB$2:AB45&lt;&gt;"")),AB$2:AB45)-AC46,"")</f>
        <v/>
      </c>
    </row>
    <row r="47" spans="1:31" hidden="1" x14ac:dyDescent="0.35">
      <c r="A47" s="16">
        <v>1</v>
      </c>
      <c r="B47" s="19">
        <v>46</v>
      </c>
      <c r="C47" s="47">
        <v>4.6990740740740743E-3</v>
      </c>
      <c r="D47" s="16">
        <f t="shared" si="0"/>
        <v>6</v>
      </c>
      <c r="E47" s="16">
        <f t="shared" si="1"/>
        <v>46</v>
      </c>
      <c r="F47" s="19" t="s">
        <v>46</v>
      </c>
      <c r="G47" s="19" t="s">
        <v>73</v>
      </c>
      <c r="H47" s="16" t="str">
        <f>_xlfn.XLOOKUP(G47,'1-Players'!$A$2:$A$27,'1-Players'!$D$2:$D$27,"")</f>
        <v>Hugo Benítez</v>
      </c>
      <c r="I47" s="19" t="s">
        <v>85</v>
      </c>
      <c r="J47" s="19" t="s">
        <v>60</v>
      </c>
      <c r="K47" s="16" cm="1">
        <f t="array" ref="K47">IFERROR(_xlfn.IFS(I47="Free Throw",1,I47="2-Point Shot",2,I47="Dunk",2,I47="3-Point Shot",3),"")</f>
        <v>1</v>
      </c>
      <c r="L47" s="16" cm="1">
        <f t="array" ref="L47">IFERROR(_xlfn.IFS(J47="Made",1,J47="Missed",0),"")</f>
        <v>1</v>
      </c>
      <c r="M47" s="16">
        <f t="shared" si="2"/>
        <v>1</v>
      </c>
      <c r="R47" s="16" t="str">
        <f t="shared" si="3"/>
        <v>N</v>
      </c>
      <c r="S47" s="16" t="str" cm="1">
        <f t="array" ref="S47">IFERROR(_xlfn.IFS(I47="Offensive Rebound",1),"")</f>
        <v/>
      </c>
      <c r="T47" s="16" t="str" cm="1">
        <f t="array" ref="T47">IFERROR(_xlfn.IFS(I47="Defensive Rebound",1),"")</f>
        <v/>
      </c>
      <c r="U47" s="16" t="str" cm="1">
        <f t="array" ref="U47">IFERROR(_xlfn.IFS(I47="Assist",1),"")</f>
        <v/>
      </c>
      <c r="V47" s="16" t="str" cm="1">
        <f t="array" ref="V47">IFERROR(_xlfn.IFS(I47="Turnover",1),"")</f>
        <v/>
      </c>
      <c r="W47" s="16" t="str" cm="1">
        <f t="array" ref="W47">IFERROR(_xlfn.IFS(I47="Steal",1),"")</f>
        <v/>
      </c>
      <c r="X47" s="16" t="str" cm="1">
        <f t="array" ref="X47">IFERROR(_xlfn.IFS(I47="Block",1),"")</f>
        <v/>
      </c>
      <c r="Y47" s="16" t="str" cm="1">
        <f t="array" ref="Y47">IFERROR(_xlfn.IFS(I47="Block Received",1),"")</f>
        <v/>
      </c>
      <c r="Z47" s="16" t="str" cm="1">
        <f t="array" ref="Z47">IFERROR(_xlfn.IFS(I47="Foul",1,I47="Foul Technical",1,I47="Offensive Foul",1),"")</f>
        <v/>
      </c>
      <c r="AA47" s="16" t="str" cm="1">
        <f t="array" ref="AA47">IFERROR(_xlfn.IFS(I47="Foul Received",1),"")</f>
        <v/>
      </c>
      <c r="AB47" s="49" t="str" cm="1">
        <f t="array" ref="AB47">IFERROR(_xlfn.IFS(I47="Starting lineup",C47,I47="Substitution - In",C47),"")</f>
        <v/>
      </c>
      <c r="AC47" s="46" t="str" cm="1">
        <f t="array" ref="AC47">IFERROR(_xlfn.IFS(I47="Finishing lineup",C47,I47="Substitution - Out",C47),"")</f>
        <v/>
      </c>
      <c r="AD47" s="46" t="str" cm="1">
        <f t="array" ref="AD47">IF(AC47&lt;&gt;"",LOOKUP(2,1/((G$2:G46=G47)*(AB$2:AB46&lt;&gt;"")),AB$2:AB46)-AC47,"")</f>
        <v/>
      </c>
      <c r="AE47" s="50" t="str" cm="1">
        <f t="array" ref="AE47">IF(AC47&lt;&gt;"",LOOKUP(2,1/((G$2:G46=G47)*(AB$2:AB46&lt;&gt;"")),AB$2:AB46)-AC47,"")</f>
        <v/>
      </c>
    </row>
    <row r="48" spans="1:31" hidden="1" x14ac:dyDescent="0.35">
      <c r="A48" s="16">
        <v>1</v>
      </c>
      <c r="B48" s="19">
        <v>47</v>
      </c>
      <c r="C48" s="47">
        <v>4.6990740740740743E-3</v>
      </c>
      <c r="D48" s="16">
        <f t="shared" si="0"/>
        <v>6</v>
      </c>
      <c r="E48" s="16">
        <f t="shared" si="1"/>
        <v>46</v>
      </c>
      <c r="F48" s="19" t="s">
        <v>46</v>
      </c>
      <c r="G48" s="19" t="s">
        <v>73</v>
      </c>
      <c r="H48" s="16" t="str">
        <f>_xlfn.XLOOKUP(G48,'1-Players'!$A$2:$A$27,'1-Players'!$D$2:$D$27,"")</f>
        <v>Hugo Benítez</v>
      </c>
      <c r="I48" s="19" t="s">
        <v>85</v>
      </c>
      <c r="J48" s="19" t="s">
        <v>60</v>
      </c>
      <c r="K48" s="16" cm="1">
        <f t="array" ref="K48">IFERROR(_xlfn.IFS(I48="Free Throw",1,I48="2-Point Shot",2,I48="Dunk",2,I48="3-Point Shot",3),"")</f>
        <v>1</v>
      </c>
      <c r="L48" s="16" cm="1">
        <f t="array" ref="L48">IFERROR(_xlfn.IFS(J48="Made",1,J48="Missed",0),"")</f>
        <v>1</v>
      </c>
      <c r="M48" s="16">
        <f t="shared" si="2"/>
        <v>1</v>
      </c>
      <c r="R48" s="16" t="str">
        <f t="shared" si="3"/>
        <v>N</v>
      </c>
      <c r="S48" s="16" t="str" cm="1">
        <f t="array" ref="S48">IFERROR(_xlfn.IFS(I48="Offensive Rebound",1),"")</f>
        <v/>
      </c>
      <c r="T48" s="16" t="str" cm="1">
        <f t="array" ref="T48">IFERROR(_xlfn.IFS(I48="Defensive Rebound",1),"")</f>
        <v/>
      </c>
      <c r="U48" s="16" t="str" cm="1">
        <f t="array" ref="U48">IFERROR(_xlfn.IFS(I48="Assist",1),"")</f>
        <v/>
      </c>
      <c r="V48" s="16" t="str" cm="1">
        <f t="array" ref="V48">IFERROR(_xlfn.IFS(I48="Turnover",1),"")</f>
        <v/>
      </c>
      <c r="W48" s="16" t="str" cm="1">
        <f t="array" ref="W48">IFERROR(_xlfn.IFS(I48="Steal",1),"")</f>
        <v/>
      </c>
      <c r="X48" s="16" t="str" cm="1">
        <f t="array" ref="X48">IFERROR(_xlfn.IFS(I48="Block",1),"")</f>
        <v/>
      </c>
      <c r="Y48" s="16" t="str" cm="1">
        <f t="array" ref="Y48">IFERROR(_xlfn.IFS(I48="Block Received",1),"")</f>
        <v/>
      </c>
      <c r="Z48" s="16" t="str" cm="1">
        <f t="array" ref="Z48">IFERROR(_xlfn.IFS(I48="Foul",1,I48="Foul Technical",1,I48="Offensive Foul",1),"")</f>
        <v/>
      </c>
      <c r="AA48" s="16" t="str" cm="1">
        <f t="array" ref="AA48">IFERROR(_xlfn.IFS(I48="Foul Received",1),"")</f>
        <v/>
      </c>
      <c r="AB48" s="49" t="str" cm="1">
        <f t="array" ref="AB48">IFERROR(_xlfn.IFS(I48="Starting lineup",C48,I48="Substitution - In",C48),"")</f>
        <v/>
      </c>
      <c r="AC48" s="46" t="str" cm="1">
        <f t="array" ref="AC48">IFERROR(_xlfn.IFS(I48="Finishing lineup",C48,I48="Substitution - Out",C48),"")</f>
        <v/>
      </c>
      <c r="AD48" s="46" t="str" cm="1">
        <f t="array" ref="AD48">IF(AC48&lt;&gt;"",LOOKUP(2,1/((G$2:G47=G48)*(AB$2:AB47&lt;&gt;"")),AB$2:AB47)-AC48,"")</f>
        <v/>
      </c>
      <c r="AE48" s="50" t="str" cm="1">
        <f t="array" ref="AE48">IF(AC48&lt;&gt;"",LOOKUP(2,1/((G$2:G47=G48)*(AB$2:AB47&lt;&gt;"")),AB$2:AB47)-AC48,"")</f>
        <v/>
      </c>
    </row>
    <row r="49" spans="1:31" hidden="1" x14ac:dyDescent="0.35">
      <c r="A49" s="16">
        <v>1</v>
      </c>
      <c r="B49" s="19">
        <v>48</v>
      </c>
      <c r="C49" s="47">
        <v>4.6990740740740743E-3</v>
      </c>
      <c r="D49" s="16">
        <f t="shared" si="0"/>
        <v>6</v>
      </c>
      <c r="E49" s="16">
        <f t="shared" si="1"/>
        <v>46</v>
      </c>
      <c r="F49" s="19" t="s">
        <v>46</v>
      </c>
      <c r="G49" s="16" t="s">
        <v>11</v>
      </c>
      <c r="H49" s="16" t="str">
        <f>_xlfn.XLOOKUP(G49,'1-Players'!$A$2:$A$27,'1-Players'!$D$2:$D$27,"")</f>
        <v>Marcis Steinbergs</v>
      </c>
      <c r="I49" s="19" t="s">
        <v>110</v>
      </c>
      <c r="K49" s="16" t="str" cm="1">
        <f t="array" ref="K49">IFERROR(_xlfn.IFS(I49="Free Throw",1,I49="2-Point Shot",2,I49="Dunk",2,I49="3-Point Shot",3),"")</f>
        <v/>
      </c>
      <c r="L49" s="16" t="str" cm="1">
        <f t="array" ref="L49">IFERROR(_xlfn.IFS(J49="Made",1,J49="Missed",0),"")</f>
        <v/>
      </c>
      <c r="M49" s="16" t="str">
        <f t="shared" si="2"/>
        <v/>
      </c>
      <c r="R49" s="16" t="str">
        <f t="shared" si="3"/>
        <v/>
      </c>
      <c r="S49" s="16" t="str" cm="1">
        <f t="array" ref="S49">IFERROR(_xlfn.IFS(I49="Offensive Rebound",1),"")</f>
        <v/>
      </c>
      <c r="T49" s="16" t="str" cm="1">
        <f t="array" ref="T49">IFERROR(_xlfn.IFS(I49="Defensive Rebound",1),"")</f>
        <v/>
      </c>
      <c r="U49" s="16" t="str" cm="1">
        <f t="array" ref="U49">IFERROR(_xlfn.IFS(I49="Assist",1),"")</f>
        <v/>
      </c>
      <c r="V49" s="16" t="str" cm="1">
        <f t="array" ref="V49">IFERROR(_xlfn.IFS(I49="Turnover",1),"")</f>
        <v/>
      </c>
      <c r="W49" s="16" t="str" cm="1">
        <f t="array" ref="W49">IFERROR(_xlfn.IFS(I49="Steal",1),"")</f>
        <v/>
      </c>
      <c r="X49" s="16" t="str" cm="1">
        <f t="array" ref="X49">IFERROR(_xlfn.IFS(I49="Block",1),"")</f>
        <v/>
      </c>
      <c r="Y49" s="16" t="str" cm="1">
        <f t="array" ref="Y49">IFERROR(_xlfn.IFS(I49="Block Received",1),"")</f>
        <v/>
      </c>
      <c r="Z49" s="16" t="str" cm="1">
        <f t="array" ref="Z49">IFERROR(_xlfn.IFS(I49="Foul",1,I49="Foul Technical",1,I49="Offensive Foul",1),"")</f>
        <v/>
      </c>
      <c r="AA49" s="16" t="str" cm="1">
        <f t="array" ref="AA49">IFERROR(_xlfn.IFS(I49="Foul Received",1),"")</f>
        <v/>
      </c>
      <c r="AB49" s="49" t="str" cm="1">
        <f t="array" ref="AB49">IFERROR(_xlfn.IFS(I49="Starting lineup",C49,I49="Substitution - In",C49),"")</f>
        <v/>
      </c>
      <c r="AC49" s="46" cm="1">
        <f t="array" ref="AC49">IFERROR(_xlfn.IFS(I49="Finishing lineup",C49,I49="Substitution - Out",C49),"")</f>
        <v>4.6990740740740743E-3</v>
      </c>
      <c r="AD49" s="46" cm="1">
        <f t="array" ref="AD49">IF(AC49&lt;&gt;"",LOOKUP(2,1/((G$2:G48=G49)*(AB$2:AB48&lt;&gt;"")),AB$2:AB48)-AC49,"")</f>
        <v>2.2453703703703655E-3</v>
      </c>
      <c r="AE49" s="50" cm="1">
        <f t="array" ref="AE49">IF(AC49&lt;&gt;"",LOOKUP(2,1/((G$2:G48=G49)*(AB$2:AB48&lt;&gt;"")),AB$2:AB48)-AC49,"")</f>
        <v>2.2453703703703655E-3</v>
      </c>
    </row>
    <row r="50" spans="1:31" hidden="1" x14ac:dyDescent="0.35">
      <c r="A50" s="16">
        <v>1</v>
      </c>
      <c r="B50" s="19">
        <v>49</v>
      </c>
      <c r="C50" s="47">
        <v>4.6990740740740743E-3</v>
      </c>
      <c r="D50" s="16">
        <f t="shared" si="0"/>
        <v>6</v>
      </c>
      <c r="E50" s="16">
        <f t="shared" si="1"/>
        <v>46</v>
      </c>
      <c r="F50" s="19" t="s">
        <v>46</v>
      </c>
      <c r="G50" s="16" t="s">
        <v>70</v>
      </c>
      <c r="H50" s="16" t="str">
        <f>_xlfn.XLOOKUP(G50,'1-Players'!$A$2:$A$27,'1-Players'!$D$2:$D$27,"")</f>
        <v>Louis Olinde</v>
      </c>
      <c r="I50" s="19" t="s">
        <v>111</v>
      </c>
      <c r="K50" s="16" t="str" cm="1">
        <f t="array" ref="K50">IFERROR(_xlfn.IFS(I50="Free Throw",1,I50="2-Point Shot",2,I50="Dunk",2,I50="3-Point Shot",3),"")</f>
        <v/>
      </c>
      <c r="L50" s="16" t="str" cm="1">
        <f t="array" ref="L50">IFERROR(_xlfn.IFS(J50="Made",1,J50="Missed",0),"")</f>
        <v/>
      </c>
      <c r="M50" s="16" t="str">
        <f t="shared" si="2"/>
        <v/>
      </c>
      <c r="R50" s="16" t="str">
        <f t="shared" si="3"/>
        <v/>
      </c>
      <c r="S50" s="16" t="str" cm="1">
        <f t="array" ref="S50">IFERROR(_xlfn.IFS(I50="Offensive Rebound",1),"")</f>
        <v/>
      </c>
      <c r="T50" s="16" t="str" cm="1">
        <f t="array" ref="T50">IFERROR(_xlfn.IFS(I50="Defensive Rebound",1),"")</f>
        <v/>
      </c>
      <c r="U50" s="16" t="str" cm="1">
        <f t="array" ref="U50">IFERROR(_xlfn.IFS(I50="Assist",1),"")</f>
        <v/>
      </c>
      <c r="V50" s="16" t="str" cm="1">
        <f t="array" ref="V50">IFERROR(_xlfn.IFS(I50="Turnover",1),"")</f>
        <v/>
      </c>
      <c r="W50" s="16" t="str" cm="1">
        <f t="array" ref="W50">IFERROR(_xlfn.IFS(I50="Steal",1),"")</f>
        <v/>
      </c>
      <c r="X50" s="16" t="str" cm="1">
        <f t="array" ref="X50">IFERROR(_xlfn.IFS(I50="Block",1),"")</f>
        <v/>
      </c>
      <c r="Y50" s="16" t="str" cm="1">
        <f t="array" ref="Y50">IFERROR(_xlfn.IFS(I50="Block Received",1),"")</f>
        <v/>
      </c>
      <c r="Z50" s="16" t="str" cm="1">
        <f t="array" ref="Z50">IFERROR(_xlfn.IFS(I50="Foul",1,I50="Foul Technical",1,I50="Offensive Foul",1),"")</f>
        <v/>
      </c>
      <c r="AA50" s="16" t="str" cm="1">
        <f t="array" ref="AA50">IFERROR(_xlfn.IFS(I50="Foul Received",1),"")</f>
        <v/>
      </c>
      <c r="AB50" s="49" cm="1">
        <f t="array" ref="AB50">IFERROR(_xlfn.IFS(I50="Starting lineup",C50,I50="Substitution - In",C50),"")</f>
        <v>4.6990740740740743E-3</v>
      </c>
      <c r="AC50" s="46" t="str" cm="1">
        <f t="array" ref="AC50">IFERROR(_xlfn.IFS(I50="Finishing lineup",C50,I50="Substitution - Out",C50),"")</f>
        <v/>
      </c>
      <c r="AD50" s="46" t="str" cm="1">
        <f t="array" ref="AD50">IF(AC50&lt;&gt;"",LOOKUP(2,1/((G$2:G49=G50)*(AB$2:AB49&lt;&gt;"")),AB$2:AB49)-AC50,"")</f>
        <v/>
      </c>
      <c r="AE50" s="50" t="str" cm="1">
        <f t="array" ref="AE50">IF(AC50&lt;&gt;"",LOOKUP(2,1/((G$2:G49=G50)*(AB$2:AB49&lt;&gt;"")),AB$2:AB49)-AC50,"")</f>
        <v/>
      </c>
    </row>
    <row r="51" spans="1:31" hidden="1" x14ac:dyDescent="0.35">
      <c r="A51" s="19">
        <v>1</v>
      </c>
      <c r="B51" s="19">
        <v>50</v>
      </c>
      <c r="C51" s="47">
        <v>4.5601851851851853E-3</v>
      </c>
      <c r="D51" s="16">
        <f t="shared" si="0"/>
        <v>6</v>
      </c>
      <c r="E51" s="16">
        <f t="shared" si="1"/>
        <v>34</v>
      </c>
      <c r="F51" s="19" t="s">
        <v>16</v>
      </c>
      <c r="G51" s="16" t="s">
        <v>20</v>
      </c>
      <c r="H51" s="16" t="str">
        <f>_xlfn.XLOOKUP(G51,'1-Players'!$A$2:$A$27,'1-Players'!$D$2:$D$27,"")</f>
        <v>Caleb Agada</v>
      </c>
      <c r="I51" s="19" t="s">
        <v>82</v>
      </c>
      <c r="J51" s="19" t="s">
        <v>60</v>
      </c>
      <c r="K51" s="16" cm="1">
        <f t="array" ref="K51">IFERROR(_xlfn.IFS(I51="Free Throw",1,I51="2-Point Shot",2,I51="Dunk",2,I51="3-Point Shot",3),"")</f>
        <v>2</v>
      </c>
      <c r="L51" s="16" cm="1">
        <f t="array" ref="L51">IFERROR(_xlfn.IFS(J51="Made",1,J51="Missed",0),"")</f>
        <v>1</v>
      </c>
      <c r="M51" s="16">
        <f t="shared" si="2"/>
        <v>2</v>
      </c>
      <c r="N51" s="16" t="s">
        <v>176</v>
      </c>
      <c r="O51" s="16" t="s">
        <v>175</v>
      </c>
      <c r="P51" s="16">
        <v>16</v>
      </c>
      <c r="Q51" s="16" t="s">
        <v>125</v>
      </c>
      <c r="R51" s="16" t="str">
        <f t="shared" si="3"/>
        <v>N</v>
      </c>
      <c r="S51" s="16" t="str" cm="1">
        <f t="array" ref="S51">IFERROR(_xlfn.IFS(I51="Offensive Rebound",1),"")</f>
        <v/>
      </c>
      <c r="T51" s="16" t="str" cm="1">
        <f t="array" ref="T51">IFERROR(_xlfn.IFS(I51="Defensive Rebound",1),"")</f>
        <v/>
      </c>
      <c r="U51" s="16" t="str" cm="1">
        <f t="array" ref="U51">IFERROR(_xlfn.IFS(I51="Assist",1),"")</f>
        <v/>
      </c>
      <c r="V51" s="16" t="str" cm="1">
        <f t="array" ref="V51">IFERROR(_xlfn.IFS(I51="Turnover",1),"")</f>
        <v/>
      </c>
      <c r="W51" s="16" t="str" cm="1">
        <f t="array" ref="W51">IFERROR(_xlfn.IFS(I51="Steal",1),"")</f>
        <v/>
      </c>
      <c r="X51" s="16" t="str" cm="1">
        <f t="array" ref="X51">IFERROR(_xlfn.IFS(I51="Block",1),"")</f>
        <v/>
      </c>
      <c r="Y51" s="16" t="str" cm="1">
        <f t="array" ref="Y51">IFERROR(_xlfn.IFS(I51="Block Received",1),"")</f>
        <v/>
      </c>
      <c r="Z51" s="16" t="str" cm="1">
        <f t="array" ref="Z51">IFERROR(_xlfn.IFS(I51="Foul",1,I51="Foul Technical",1,I51="Offensive Foul",1),"")</f>
        <v/>
      </c>
      <c r="AA51" s="16" t="str" cm="1">
        <f t="array" ref="AA51">IFERROR(_xlfn.IFS(I51="Foul Received",1),"")</f>
        <v/>
      </c>
      <c r="AB51" s="49" t="str" cm="1">
        <f t="array" ref="AB51">IFERROR(_xlfn.IFS(I51="Starting lineup",C51,I51="Substitution - In",C51),"")</f>
        <v/>
      </c>
      <c r="AC51" s="46" t="str" cm="1">
        <f t="array" ref="AC51">IFERROR(_xlfn.IFS(I51="Finishing lineup",C51,I51="Substitution - Out",C51),"")</f>
        <v/>
      </c>
      <c r="AD51" s="46" t="str" cm="1">
        <f t="array" ref="AD51">IF(AC51&lt;&gt;"",LOOKUP(2,1/((G$2:G50=G51)*(AB$2:AB50&lt;&gt;"")),AB$2:AB50)-AC51,"")</f>
        <v/>
      </c>
      <c r="AE51" s="50" t="str" cm="1">
        <f t="array" ref="AE51">IF(AC51&lt;&gt;"",LOOKUP(2,1/((G$2:G50=G51)*(AB$2:AB50&lt;&gt;"")),AB$2:AB50)-AC51,"")</f>
        <v/>
      </c>
    </row>
    <row r="52" spans="1:31" hidden="1" x14ac:dyDescent="0.35">
      <c r="A52" s="16">
        <v>1</v>
      </c>
      <c r="B52" s="19">
        <v>51</v>
      </c>
      <c r="C52" s="47">
        <v>4.3981481481481484E-3</v>
      </c>
      <c r="D52" s="16">
        <f t="shared" si="0"/>
        <v>6</v>
      </c>
      <c r="E52" s="16">
        <f t="shared" si="1"/>
        <v>20</v>
      </c>
      <c r="F52" s="19" t="s">
        <v>99</v>
      </c>
      <c r="G52" s="16" t="s">
        <v>35</v>
      </c>
      <c r="H52" s="16" t="str">
        <f>_xlfn.XLOOKUP(G52,'1-Players'!$A$2:$A$27,'1-Players'!$D$2:$D$27,"")</f>
        <v>Grant Golden</v>
      </c>
      <c r="I52" s="19" t="s">
        <v>82</v>
      </c>
      <c r="J52" s="19" t="s">
        <v>63</v>
      </c>
      <c r="K52" s="16" cm="1">
        <f t="array" ref="K52">IFERROR(_xlfn.IFS(I52="Free Throw",1,I52="2-Point Shot",2,I52="Dunk",2,I52="3-Point Shot",3),"")</f>
        <v>2</v>
      </c>
      <c r="L52" s="16" cm="1">
        <f t="array" ref="L52">IFERROR(_xlfn.IFS(J52="Made",1,J52="Missed",0),"")</f>
        <v>0</v>
      </c>
      <c r="M52" s="16">
        <f t="shared" si="2"/>
        <v>0</v>
      </c>
      <c r="N52" s="16" t="s">
        <v>186</v>
      </c>
      <c r="O52" s="16" t="s">
        <v>189</v>
      </c>
      <c r="P52" s="16">
        <v>12</v>
      </c>
      <c r="Q52" s="16" t="s">
        <v>125</v>
      </c>
      <c r="R52" s="16" t="str">
        <f t="shared" si="3"/>
        <v/>
      </c>
      <c r="S52" s="16" t="str" cm="1">
        <f t="array" ref="S52">IFERROR(_xlfn.IFS(I52="Offensive Rebound",1),"")</f>
        <v/>
      </c>
      <c r="T52" s="16" t="str" cm="1">
        <f t="array" ref="T52">IFERROR(_xlfn.IFS(I52="Defensive Rebound",1),"")</f>
        <v/>
      </c>
      <c r="U52" s="16" t="str" cm="1">
        <f t="array" ref="U52">IFERROR(_xlfn.IFS(I52="Assist",1),"")</f>
        <v/>
      </c>
      <c r="V52" s="16" t="str" cm="1">
        <f t="array" ref="V52">IFERROR(_xlfn.IFS(I52="Turnover",1),"")</f>
        <v/>
      </c>
      <c r="W52" s="16" t="str" cm="1">
        <f t="array" ref="W52">IFERROR(_xlfn.IFS(I52="Steal",1),"")</f>
        <v/>
      </c>
      <c r="X52" s="16" t="str" cm="1">
        <f t="array" ref="X52">IFERROR(_xlfn.IFS(I52="Block",1),"")</f>
        <v/>
      </c>
      <c r="Y52" s="16" t="str" cm="1">
        <f t="array" ref="Y52">IFERROR(_xlfn.IFS(I52="Block Received",1),"")</f>
        <v/>
      </c>
      <c r="Z52" s="16" t="str" cm="1">
        <f t="array" ref="Z52">IFERROR(_xlfn.IFS(I52="Foul",1,I52="Foul Technical",1,I52="Offensive Foul",1),"")</f>
        <v/>
      </c>
      <c r="AA52" s="16" t="str" cm="1">
        <f t="array" ref="AA52">IFERROR(_xlfn.IFS(I52="Foul Received",1),"")</f>
        <v/>
      </c>
      <c r="AB52" s="49" t="str" cm="1">
        <f t="array" ref="AB52">IFERROR(_xlfn.IFS(I52="Starting lineup",C52,I52="Substitution - In",C52),"")</f>
        <v/>
      </c>
      <c r="AC52" s="46" t="str" cm="1">
        <f t="array" ref="AC52">IFERROR(_xlfn.IFS(I52="Finishing lineup",C52,I52="Substitution - Out",C52),"")</f>
        <v/>
      </c>
      <c r="AD52" s="46" t="str" cm="1">
        <f t="array" ref="AD52">IF(AC52&lt;&gt;"",LOOKUP(2,1/((G$2:G51=G52)*(AB$2:AB51&lt;&gt;"")),AB$2:AB51)-AC52,"")</f>
        <v/>
      </c>
      <c r="AE52" s="50" t="str" cm="1">
        <f t="array" ref="AE52">IF(AC52&lt;&gt;"",LOOKUP(2,1/((G$2:G51=G52)*(AB$2:AB51&lt;&gt;"")),AB$2:AB51)-AC52,"")</f>
        <v/>
      </c>
    </row>
    <row r="53" spans="1:31" hidden="1" x14ac:dyDescent="0.35">
      <c r="A53" s="19">
        <v>1</v>
      </c>
      <c r="B53" s="19">
        <v>52</v>
      </c>
      <c r="C53" s="47">
        <v>4.3981481481481484E-3</v>
      </c>
      <c r="D53" s="16">
        <f t="shared" si="0"/>
        <v>6</v>
      </c>
      <c r="E53" s="16">
        <f t="shared" si="1"/>
        <v>20</v>
      </c>
      <c r="F53" s="19" t="s">
        <v>99</v>
      </c>
      <c r="G53" s="16" t="s">
        <v>70</v>
      </c>
      <c r="H53" s="16" t="str">
        <f>_xlfn.XLOOKUP(G53,'1-Players'!$A$2:$A$27,'1-Players'!$D$2:$D$27,"")</f>
        <v>Louis Olinde</v>
      </c>
      <c r="I53" s="19" t="s">
        <v>109</v>
      </c>
      <c r="J53" s="19"/>
      <c r="K53" s="16" t="str" cm="1">
        <f t="array" ref="K53">IFERROR(_xlfn.IFS(I53="Free Throw",1,I53="2-Point Shot",2,I53="Dunk",2,I53="3-Point Shot",3),"")</f>
        <v/>
      </c>
      <c r="L53" s="16" t="str" cm="1">
        <f t="array" ref="L53">IFERROR(_xlfn.IFS(J53="Made",1,J53="Missed",0),"")</f>
        <v/>
      </c>
      <c r="M53" s="16" t="str">
        <f t="shared" si="2"/>
        <v/>
      </c>
      <c r="R53" s="16" t="str">
        <f t="shared" si="3"/>
        <v/>
      </c>
      <c r="S53" s="16" cm="1">
        <f t="array" ref="S53">IFERROR(_xlfn.IFS(I53="Offensive Rebound",1),"")</f>
        <v>1</v>
      </c>
      <c r="T53" s="16" t="str" cm="1">
        <f t="array" ref="T53">IFERROR(_xlfn.IFS(I53="Defensive Rebound",1),"")</f>
        <v/>
      </c>
      <c r="U53" s="16" t="str" cm="1">
        <f t="array" ref="U53">IFERROR(_xlfn.IFS(I53="Assist",1),"")</f>
        <v/>
      </c>
      <c r="V53" s="16" t="str" cm="1">
        <f t="array" ref="V53">IFERROR(_xlfn.IFS(I53="Turnover",1),"")</f>
        <v/>
      </c>
      <c r="W53" s="16" t="str" cm="1">
        <f t="array" ref="W53">IFERROR(_xlfn.IFS(I53="Steal",1),"")</f>
        <v/>
      </c>
      <c r="X53" s="16" t="str" cm="1">
        <f t="array" ref="X53">IFERROR(_xlfn.IFS(I53="Block",1),"")</f>
        <v/>
      </c>
      <c r="Y53" s="16" t="str" cm="1">
        <f t="array" ref="Y53">IFERROR(_xlfn.IFS(I53="Block Received",1),"")</f>
        <v/>
      </c>
      <c r="Z53" s="16" t="str" cm="1">
        <f t="array" ref="Z53">IFERROR(_xlfn.IFS(I53="Foul",1,I53="Foul Technical",1,I53="Offensive Foul",1),"")</f>
        <v/>
      </c>
      <c r="AA53" s="16" t="str" cm="1">
        <f t="array" ref="AA53">IFERROR(_xlfn.IFS(I53="Foul Received",1),"")</f>
        <v/>
      </c>
      <c r="AB53" s="49" t="str" cm="1">
        <f t="array" ref="AB53">IFERROR(_xlfn.IFS(I53="Starting lineup",C53,I53="Substitution - In",C53),"")</f>
        <v/>
      </c>
      <c r="AC53" s="46" t="str" cm="1">
        <f t="array" ref="AC53">IFERROR(_xlfn.IFS(I53="Finishing lineup",C53,I53="Substitution - Out",C53),"")</f>
        <v/>
      </c>
      <c r="AD53" s="46" t="str" cm="1">
        <f t="array" ref="AD53">IF(AC53&lt;&gt;"",LOOKUP(2,1/((G$2:G52=G53)*(AB$2:AB52&lt;&gt;"")),AB$2:AB52)-AC53,"")</f>
        <v/>
      </c>
      <c r="AE53" s="50" t="str" cm="1">
        <f t="array" ref="AE53">IF(AC53&lt;&gt;"",LOOKUP(2,1/((G$2:G52=G53)*(AB$2:AB52&lt;&gt;"")),AB$2:AB52)-AC53,"")</f>
        <v/>
      </c>
    </row>
    <row r="54" spans="1:31" hidden="1" x14ac:dyDescent="0.35">
      <c r="A54" s="16">
        <v>1</v>
      </c>
      <c r="B54" s="19">
        <v>53</v>
      </c>
      <c r="C54" s="47">
        <v>4.31712962962963E-3</v>
      </c>
      <c r="D54" s="16">
        <f t="shared" si="0"/>
        <v>6</v>
      </c>
      <c r="E54" s="16">
        <f t="shared" si="1"/>
        <v>13</v>
      </c>
      <c r="F54" s="19" t="s">
        <v>99</v>
      </c>
      <c r="G54" s="16" t="s">
        <v>73</v>
      </c>
      <c r="H54" s="16" t="str">
        <f>_xlfn.XLOOKUP(G54,'1-Players'!$A$2:$A$27,'1-Players'!$D$2:$D$27,"")</f>
        <v>Hugo Benítez</v>
      </c>
      <c r="I54" s="19" t="s">
        <v>83</v>
      </c>
      <c r="J54" s="19" t="s">
        <v>63</v>
      </c>
      <c r="K54" s="16" cm="1">
        <f t="array" ref="K54">IFERROR(_xlfn.IFS(I54="Free Throw",1,I54="2-Point Shot",2,I54="Dunk",2,I54="3-Point Shot",3),"")</f>
        <v>3</v>
      </c>
      <c r="L54" s="16" cm="1">
        <f t="array" ref="L54">IFERROR(_xlfn.IFS(J54="Made",1,J54="Missed",0),"")</f>
        <v>0</v>
      </c>
      <c r="M54" s="16">
        <f t="shared" si="2"/>
        <v>0</v>
      </c>
      <c r="N54" s="16" t="s">
        <v>180</v>
      </c>
      <c r="O54" s="16" t="s">
        <v>187</v>
      </c>
      <c r="P54" s="16">
        <v>10</v>
      </c>
      <c r="Q54" s="16" t="s">
        <v>125</v>
      </c>
      <c r="R54" s="16" t="str">
        <f t="shared" si="3"/>
        <v/>
      </c>
      <c r="S54" s="16" t="str" cm="1">
        <f t="array" ref="S54">IFERROR(_xlfn.IFS(I54="Offensive Rebound",1),"")</f>
        <v/>
      </c>
      <c r="T54" s="16" t="str" cm="1">
        <f t="array" ref="T54">IFERROR(_xlfn.IFS(I54="Defensive Rebound",1),"")</f>
        <v/>
      </c>
      <c r="U54" s="16" t="str" cm="1">
        <f t="array" ref="U54">IFERROR(_xlfn.IFS(I54="Assist",1),"")</f>
        <v/>
      </c>
      <c r="V54" s="16" t="str" cm="1">
        <f t="array" ref="V54">IFERROR(_xlfn.IFS(I54="Turnover",1),"")</f>
        <v/>
      </c>
      <c r="W54" s="16" t="str" cm="1">
        <f t="array" ref="W54">IFERROR(_xlfn.IFS(I54="Steal",1),"")</f>
        <v/>
      </c>
      <c r="X54" s="16" t="str" cm="1">
        <f t="array" ref="X54">IFERROR(_xlfn.IFS(I54="Block",1),"")</f>
        <v/>
      </c>
      <c r="Y54" s="16" t="str" cm="1">
        <f t="array" ref="Y54">IFERROR(_xlfn.IFS(I54="Block Received",1),"")</f>
        <v/>
      </c>
      <c r="Z54" s="16" t="str" cm="1">
        <f t="array" ref="Z54">IFERROR(_xlfn.IFS(I54="Foul",1,I54="Foul Technical",1,I54="Offensive Foul",1),"")</f>
        <v/>
      </c>
      <c r="AA54" s="16" t="str" cm="1">
        <f t="array" ref="AA54">IFERROR(_xlfn.IFS(I54="Foul Received",1),"")</f>
        <v/>
      </c>
      <c r="AB54" s="49" t="str" cm="1">
        <f t="array" ref="AB54">IFERROR(_xlfn.IFS(I54="Starting lineup",C54,I54="Substitution - In",C54),"")</f>
        <v/>
      </c>
      <c r="AC54" s="46" t="str" cm="1">
        <f t="array" ref="AC54">IFERROR(_xlfn.IFS(I54="Finishing lineup",C54,I54="Substitution - Out",C54),"")</f>
        <v/>
      </c>
      <c r="AD54" s="46" t="str" cm="1">
        <f t="array" ref="AD54">IF(AC54&lt;&gt;"",LOOKUP(2,1/((G$2:G53=G54)*(AB$2:AB53&lt;&gt;"")),AB$2:AB53)-AC54,"")</f>
        <v/>
      </c>
      <c r="AE54" s="50" t="str" cm="1">
        <f t="array" ref="AE54">IF(AC54&lt;&gt;"",LOOKUP(2,1/((G$2:G53=G54)*(AB$2:AB53&lt;&gt;"")),AB$2:AB53)-AC54,"")</f>
        <v/>
      </c>
    </row>
    <row r="55" spans="1:31" hidden="1" x14ac:dyDescent="0.35">
      <c r="A55" s="16">
        <v>1</v>
      </c>
      <c r="B55" s="19">
        <v>54</v>
      </c>
      <c r="C55" s="47">
        <v>4.31712962962963E-3</v>
      </c>
      <c r="D55" s="16">
        <f t="shared" si="0"/>
        <v>6</v>
      </c>
      <c r="E55" s="16">
        <f t="shared" si="1"/>
        <v>13</v>
      </c>
      <c r="F55" s="19" t="s">
        <v>16</v>
      </c>
      <c r="G55" s="16" t="s">
        <v>20</v>
      </c>
      <c r="H55" s="16" t="str">
        <f>_xlfn.XLOOKUP(G55,'1-Players'!$A$2:$A$27,'1-Players'!$D$2:$D$27,"")</f>
        <v>Caleb Agada</v>
      </c>
      <c r="I55" s="19" t="s">
        <v>84</v>
      </c>
      <c r="J55" s="19"/>
      <c r="K55" s="16" t="str" cm="1">
        <f t="array" ref="K55">IFERROR(_xlfn.IFS(I55="Free Throw",1,I55="2-Point Shot",2,I55="Dunk",2,I55="3-Point Shot",3),"")</f>
        <v/>
      </c>
      <c r="L55" s="16" t="str" cm="1">
        <f t="array" ref="L55">IFERROR(_xlfn.IFS(J55="Made",1,J55="Missed",0),"")</f>
        <v/>
      </c>
      <c r="M55" s="16" t="str">
        <f t="shared" si="2"/>
        <v/>
      </c>
      <c r="R55" s="16" t="str">
        <f t="shared" si="3"/>
        <v/>
      </c>
      <c r="S55" s="16" t="str" cm="1">
        <f t="array" ref="S55">IFERROR(_xlfn.IFS(I55="Offensive Rebound",1),"")</f>
        <v/>
      </c>
      <c r="T55" s="16" cm="1">
        <f t="array" ref="T55">IFERROR(_xlfn.IFS(I55="Defensive Rebound",1),"")</f>
        <v>1</v>
      </c>
      <c r="U55" s="16" t="str" cm="1">
        <f t="array" ref="U55">IFERROR(_xlfn.IFS(I55="Assist",1),"")</f>
        <v/>
      </c>
      <c r="V55" s="16" t="str" cm="1">
        <f t="array" ref="V55">IFERROR(_xlfn.IFS(I55="Turnover",1),"")</f>
        <v/>
      </c>
      <c r="W55" s="16" t="str" cm="1">
        <f t="array" ref="W55">IFERROR(_xlfn.IFS(I55="Steal",1),"")</f>
        <v/>
      </c>
      <c r="X55" s="16" t="str" cm="1">
        <f t="array" ref="X55">IFERROR(_xlfn.IFS(I55="Block",1),"")</f>
        <v/>
      </c>
      <c r="Y55" s="16" t="str" cm="1">
        <f t="array" ref="Y55">IFERROR(_xlfn.IFS(I55="Block Received",1),"")</f>
        <v/>
      </c>
      <c r="Z55" s="16" t="str" cm="1">
        <f t="array" ref="Z55">IFERROR(_xlfn.IFS(I55="Foul",1,I55="Foul Technical",1,I55="Offensive Foul",1),"")</f>
        <v/>
      </c>
      <c r="AA55" s="16" t="str" cm="1">
        <f t="array" ref="AA55">IFERROR(_xlfn.IFS(I55="Foul Received",1),"")</f>
        <v/>
      </c>
      <c r="AB55" s="49" t="str" cm="1">
        <f t="array" ref="AB55">IFERROR(_xlfn.IFS(I55="Starting lineup",C55,I55="Substitution - In",C55),"")</f>
        <v/>
      </c>
      <c r="AC55" s="46" t="str" cm="1">
        <f t="array" ref="AC55">IFERROR(_xlfn.IFS(I55="Finishing lineup",C55,I55="Substitution - Out",C55),"")</f>
        <v/>
      </c>
      <c r="AD55" s="46" t="str" cm="1">
        <f t="array" ref="AD55">IF(AC55&lt;&gt;"",LOOKUP(2,1/((G$2:G54=G55)*(AB$2:AB54&lt;&gt;"")),AB$2:AB54)-AC55,"")</f>
        <v/>
      </c>
      <c r="AE55" s="50" t="str" cm="1">
        <f t="array" ref="AE55">IF(AC55&lt;&gt;"",LOOKUP(2,1/((G$2:G54=G55)*(AB$2:AB54&lt;&gt;"")),AB$2:AB54)-AC55,"")</f>
        <v/>
      </c>
    </row>
    <row r="56" spans="1:31" hidden="1" x14ac:dyDescent="0.35">
      <c r="A56" s="19">
        <v>1</v>
      </c>
      <c r="B56" s="19">
        <v>55</v>
      </c>
      <c r="C56" s="47">
        <v>4.3055555555555555E-3</v>
      </c>
      <c r="D56" s="16">
        <f t="shared" si="0"/>
        <v>6</v>
      </c>
      <c r="E56" s="16">
        <f t="shared" si="1"/>
        <v>12</v>
      </c>
      <c r="F56" s="19" t="s">
        <v>46</v>
      </c>
      <c r="G56" s="16" t="s">
        <v>73</v>
      </c>
      <c r="H56" s="16" t="str">
        <f>_xlfn.XLOOKUP(G56,'1-Players'!$A$2:$A$27,'1-Players'!$D$2:$D$27,"")</f>
        <v>Hugo Benítez</v>
      </c>
      <c r="I56" s="19" t="s">
        <v>106</v>
      </c>
      <c r="J56" s="19" t="s">
        <v>107</v>
      </c>
      <c r="K56" s="16" t="str" cm="1">
        <f t="array" ref="K56">IFERROR(_xlfn.IFS(I56="Free Throw",1,I56="2-Point Shot",2,I56="Dunk",2,I56="3-Point Shot",3),"")</f>
        <v/>
      </c>
      <c r="L56" s="16" t="str" cm="1">
        <f t="array" ref="L56">IFERROR(_xlfn.IFS(J56="Made",1,J56="Missed",0),"")</f>
        <v/>
      </c>
      <c r="M56" s="16" t="str">
        <f t="shared" si="2"/>
        <v/>
      </c>
      <c r="R56" s="16" t="str">
        <f t="shared" si="3"/>
        <v/>
      </c>
      <c r="S56" s="16" t="str" cm="1">
        <f t="array" ref="S56">IFERROR(_xlfn.IFS(I56="Offensive Rebound",1),"")</f>
        <v/>
      </c>
      <c r="T56" s="16" t="str" cm="1">
        <f t="array" ref="T56">IFERROR(_xlfn.IFS(I56="Defensive Rebound",1),"")</f>
        <v/>
      </c>
      <c r="U56" s="16" t="str" cm="1">
        <f t="array" ref="U56">IFERROR(_xlfn.IFS(I56="Assist",1),"")</f>
        <v/>
      </c>
      <c r="V56" s="16" t="str" cm="1">
        <f t="array" ref="V56">IFERROR(_xlfn.IFS(I56="Turnover",1),"")</f>
        <v/>
      </c>
      <c r="W56" s="16" t="str" cm="1">
        <f t="array" ref="W56">IFERROR(_xlfn.IFS(I56="Steal",1),"")</f>
        <v/>
      </c>
      <c r="X56" s="16" t="str" cm="1">
        <f t="array" ref="X56">IFERROR(_xlfn.IFS(I56="Block",1),"")</f>
        <v/>
      </c>
      <c r="Y56" s="16" t="str" cm="1">
        <f t="array" ref="Y56">IFERROR(_xlfn.IFS(I56="Block Received",1),"")</f>
        <v/>
      </c>
      <c r="Z56" s="16" cm="1">
        <f t="array" ref="Z56">IFERROR(_xlfn.IFS(I56="Foul",1,I56="Foul Technical",1,I56="Offensive Foul",1),"")</f>
        <v>1</v>
      </c>
      <c r="AA56" s="16" t="str" cm="1">
        <f t="array" ref="AA56">IFERROR(_xlfn.IFS(I56="Foul Received",1),"")</f>
        <v/>
      </c>
      <c r="AB56" s="49" t="str" cm="1">
        <f t="array" ref="AB56">IFERROR(_xlfn.IFS(I56="Starting lineup",C56,I56="Substitution - In",C56),"")</f>
        <v/>
      </c>
      <c r="AC56" s="46" t="str" cm="1">
        <f t="array" ref="AC56">IFERROR(_xlfn.IFS(I56="Finishing lineup",C56,I56="Substitution - Out",C56),"")</f>
        <v/>
      </c>
      <c r="AD56" s="46" t="str" cm="1">
        <f t="array" ref="AD56">IF(AC56&lt;&gt;"",LOOKUP(2,1/((G$2:G55=G56)*(AB$2:AB55&lt;&gt;"")),AB$2:AB55)-AC56,"")</f>
        <v/>
      </c>
      <c r="AE56" s="50" t="str" cm="1">
        <f t="array" ref="AE56">IF(AC56&lt;&gt;"",LOOKUP(2,1/((G$2:G55=G56)*(AB$2:AB55&lt;&gt;"")),AB$2:AB55)-AC56,"")</f>
        <v/>
      </c>
    </row>
    <row r="57" spans="1:31" hidden="1" x14ac:dyDescent="0.35">
      <c r="A57" s="16">
        <v>1</v>
      </c>
      <c r="B57" s="19">
        <v>56</v>
      </c>
      <c r="C57" s="47">
        <v>4.3055555555555555E-3</v>
      </c>
      <c r="D57" s="16">
        <f t="shared" si="0"/>
        <v>6</v>
      </c>
      <c r="E57" s="16">
        <f t="shared" si="1"/>
        <v>12</v>
      </c>
      <c r="F57" s="19" t="s">
        <v>16</v>
      </c>
      <c r="G57" s="16" t="s">
        <v>20</v>
      </c>
      <c r="H57" s="16" t="str">
        <f>_xlfn.XLOOKUP(G57,'1-Players'!$A$2:$A$27,'1-Players'!$D$2:$D$27,"")</f>
        <v>Caleb Agada</v>
      </c>
      <c r="I57" s="19" t="s">
        <v>108</v>
      </c>
      <c r="J57" s="19"/>
      <c r="K57" s="16" t="str" cm="1">
        <f t="array" ref="K57">IFERROR(_xlfn.IFS(I57="Free Throw",1,I57="2-Point Shot",2,I57="Dunk",2,I57="3-Point Shot",3),"")</f>
        <v/>
      </c>
      <c r="L57" s="16" t="str" cm="1">
        <f t="array" ref="L57">IFERROR(_xlfn.IFS(J57="Made",1,J57="Missed",0),"")</f>
        <v/>
      </c>
      <c r="M57" s="16" t="str">
        <f t="shared" si="2"/>
        <v/>
      </c>
      <c r="R57" s="16" t="str">
        <f t="shared" si="3"/>
        <v/>
      </c>
      <c r="S57" s="16" t="str" cm="1">
        <f t="array" ref="S57">IFERROR(_xlfn.IFS(I57="Offensive Rebound",1),"")</f>
        <v/>
      </c>
      <c r="T57" s="16" t="str" cm="1">
        <f t="array" ref="T57">IFERROR(_xlfn.IFS(I57="Defensive Rebound",1),"")</f>
        <v/>
      </c>
      <c r="U57" s="16" t="str" cm="1">
        <f t="array" ref="U57">IFERROR(_xlfn.IFS(I57="Assist",1),"")</f>
        <v/>
      </c>
      <c r="V57" s="16" t="str" cm="1">
        <f t="array" ref="V57">IFERROR(_xlfn.IFS(I57="Turnover",1),"")</f>
        <v/>
      </c>
      <c r="W57" s="16" t="str" cm="1">
        <f t="array" ref="W57">IFERROR(_xlfn.IFS(I57="Steal",1),"")</f>
        <v/>
      </c>
      <c r="X57" s="16" t="str" cm="1">
        <f t="array" ref="X57">IFERROR(_xlfn.IFS(I57="Block",1),"")</f>
        <v/>
      </c>
      <c r="Y57" s="16" t="str" cm="1">
        <f t="array" ref="Y57">IFERROR(_xlfn.IFS(I57="Block Received",1),"")</f>
        <v/>
      </c>
      <c r="Z57" s="16" t="str" cm="1">
        <f t="array" ref="Z57">IFERROR(_xlfn.IFS(I57="Foul",1,I57="Foul Technical",1,I57="Offensive Foul",1),"")</f>
        <v/>
      </c>
      <c r="AA57" s="16" cm="1">
        <f t="array" ref="AA57">IFERROR(_xlfn.IFS(I57="Foul Received",1),"")</f>
        <v>1</v>
      </c>
      <c r="AB57" s="49" t="str" cm="1">
        <f t="array" ref="AB57">IFERROR(_xlfn.IFS(I57="Starting lineup",C57,I57="Substitution - In",C57),"")</f>
        <v/>
      </c>
      <c r="AC57" s="46" t="str" cm="1">
        <f t="array" ref="AC57">IFERROR(_xlfn.IFS(I57="Finishing lineup",C57,I57="Substitution - Out",C57),"")</f>
        <v/>
      </c>
      <c r="AD57" s="46" t="str" cm="1">
        <f t="array" ref="AD57">IF(AC57&lt;&gt;"",LOOKUP(2,1/((G$2:G56=G57)*(AB$2:AB56&lt;&gt;"")),AB$2:AB56)-AC57,"")</f>
        <v/>
      </c>
      <c r="AE57" s="50" t="str" cm="1">
        <f t="array" ref="AE57">IF(AC57&lt;&gt;"",LOOKUP(2,1/((G$2:G56=G57)*(AB$2:AB56&lt;&gt;"")),AB$2:AB56)-AC57,"")</f>
        <v/>
      </c>
    </row>
    <row r="58" spans="1:31" hidden="1" x14ac:dyDescent="0.35">
      <c r="A58" s="16">
        <v>1</v>
      </c>
      <c r="B58" s="19">
        <v>57</v>
      </c>
      <c r="C58" s="47">
        <v>4.3055555555555555E-3</v>
      </c>
      <c r="D58" s="16">
        <f t="shared" ref="D58:D120" si="4">MINUTE(C58)</f>
        <v>6</v>
      </c>
      <c r="E58" s="16">
        <f t="shared" si="1"/>
        <v>12</v>
      </c>
      <c r="F58" s="19" t="s">
        <v>46</v>
      </c>
      <c r="G58" s="16" t="s">
        <v>73</v>
      </c>
      <c r="H58" s="16" t="str">
        <f>_xlfn.XLOOKUP(G58,'1-Players'!$A$2:$A$27,'1-Players'!$D$2:$D$27,"")</f>
        <v>Hugo Benítez</v>
      </c>
      <c r="I58" s="19" t="s">
        <v>110</v>
      </c>
      <c r="K58" s="16" t="str" cm="1">
        <f t="array" ref="K58">IFERROR(_xlfn.IFS(I58="Free Throw",1,I58="2-Point Shot",2,I58="Dunk",2,I58="3-Point Shot",3),"")</f>
        <v/>
      </c>
      <c r="L58" s="16" t="str" cm="1">
        <f t="array" ref="L58">IFERROR(_xlfn.IFS(J58="Made",1,J58="Missed",0),"")</f>
        <v/>
      </c>
      <c r="M58" s="16" t="str">
        <f t="shared" si="2"/>
        <v/>
      </c>
      <c r="R58" s="16" t="str">
        <f t="shared" si="3"/>
        <v/>
      </c>
      <c r="S58" s="16" t="str" cm="1">
        <f t="array" ref="S58">IFERROR(_xlfn.IFS(I58="Offensive Rebound",1),"")</f>
        <v/>
      </c>
      <c r="T58" s="16" t="str" cm="1">
        <f t="array" ref="T58">IFERROR(_xlfn.IFS(I58="Defensive Rebound",1),"")</f>
        <v/>
      </c>
      <c r="U58" s="16" t="str" cm="1">
        <f t="array" ref="U58">IFERROR(_xlfn.IFS(I58="Assist",1),"")</f>
        <v/>
      </c>
      <c r="V58" s="16" t="str" cm="1">
        <f t="array" ref="V58">IFERROR(_xlfn.IFS(I58="Turnover",1),"")</f>
        <v/>
      </c>
      <c r="W58" s="16" t="str" cm="1">
        <f t="array" ref="W58">IFERROR(_xlfn.IFS(I58="Steal",1),"")</f>
        <v/>
      </c>
      <c r="X58" s="16" t="str" cm="1">
        <f t="array" ref="X58">IFERROR(_xlfn.IFS(I58="Block",1),"")</f>
        <v/>
      </c>
      <c r="Y58" s="16" t="str" cm="1">
        <f t="array" ref="Y58">IFERROR(_xlfn.IFS(I58="Block Received",1),"")</f>
        <v/>
      </c>
      <c r="Z58" s="16" t="str" cm="1">
        <f t="array" ref="Z58">IFERROR(_xlfn.IFS(I58="Foul",1,I58="Foul Technical",1,I58="Offensive Foul",1),"")</f>
        <v/>
      </c>
      <c r="AA58" s="16" t="str" cm="1">
        <f t="array" ref="AA58">IFERROR(_xlfn.IFS(I58="Foul Received",1),"")</f>
        <v/>
      </c>
      <c r="AB58" s="49" t="str" cm="1">
        <f t="array" ref="AB58">IFERROR(_xlfn.IFS(I58="Starting lineup",C58,I58="Substitution - In",C58),"")</f>
        <v/>
      </c>
      <c r="AC58" s="46" cm="1">
        <f t="array" ref="AC58">IFERROR(_xlfn.IFS(I58="Finishing lineup",C58,I58="Substitution - Out",C58),"")</f>
        <v>4.3055555555555555E-3</v>
      </c>
      <c r="AD58" s="46" cm="1">
        <f t="array" ref="AD58">IF(AC58&lt;&gt;"",LOOKUP(2,1/((G$2:G57=G58)*(AB$2:AB57&lt;&gt;"")),AB$2:AB57)-AC58,"")</f>
        <v>2.6388888888888842E-3</v>
      </c>
      <c r="AE58" s="50" cm="1">
        <f t="array" ref="AE58">IF(AC58&lt;&gt;"",LOOKUP(2,1/((G$2:G57=G58)*(AB$2:AB57&lt;&gt;"")),AB$2:AB57)-AC58,"")</f>
        <v>2.6388888888888842E-3</v>
      </c>
    </row>
    <row r="59" spans="1:31" hidden="1" x14ac:dyDescent="0.35">
      <c r="A59" s="16">
        <v>1</v>
      </c>
      <c r="B59" s="19">
        <v>58</v>
      </c>
      <c r="C59" s="47">
        <v>4.3055555555555555E-3</v>
      </c>
      <c r="D59" s="16">
        <f t="shared" si="4"/>
        <v>6</v>
      </c>
      <c r="E59" s="16">
        <f t="shared" si="1"/>
        <v>12</v>
      </c>
      <c r="F59" s="19" t="s">
        <v>46</v>
      </c>
      <c r="G59" s="16" t="s">
        <v>68</v>
      </c>
      <c r="H59" s="16" t="str">
        <f>_xlfn.XLOOKUP(G59,'1-Players'!$A$2:$A$27,'1-Players'!$D$2:$D$27,"")</f>
        <v>Dani Pérez</v>
      </c>
      <c r="I59" s="19" t="s">
        <v>111</v>
      </c>
      <c r="K59" s="16" t="str" cm="1">
        <f t="array" ref="K59">IFERROR(_xlfn.IFS(I59="Free Throw",1,I59="2-Point Shot",2,I59="Dunk",2,I59="3-Point Shot",3),"")</f>
        <v/>
      </c>
      <c r="L59" s="16" t="str" cm="1">
        <f t="array" ref="L59">IFERROR(_xlfn.IFS(J59="Made",1,J59="Missed",0),"")</f>
        <v/>
      </c>
      <c r="M59" s="16" t="str">
        <f t="shared" si="2"/>
        <v/>
      </c>
      <c r="R59" s="16" t="str">
        <f t="shared" si="3"/>
        <v/>
      </c>
      <c r="S59" s="16" t="str" cm="1">
        <f t="array" ref="S59">IFERROR(_xlfn.IFS(I59="Offensive Rebound",1),"")</f>
        <v/>
      </c>
      <c r="T59" s="16" t="str" cm="1">
        <f t="array" ref="T59">IFERROR(_xlfn.IFS(I59="Defensive Rebound",1),"")</f>
        <v/>
      </c>
      <c r="U59" s="16" t="str" cm="1">
        <f t="array" ref="U59">IFERROR(_xlfn.IFS(I59="Assist",1),"")</f>
        <v/>
      </c>
      <c r="V59" s="16" t="str" cm="1">
        <f t="array" ref="V59">IFERROR(_xlfn.IFS(I59="Turnover",1),"")</f>
        <v/>
      </c>
      <c r="W59" s="16" t="str" cm="1">
        <f t="array" ref="W59">IFERROR(_xlfn.IFS(I59="Steal",1),"")</f>
        <v/>
      </c>
      <c r="X59" s="16" t="str" cm="1">
        <f t="array" ref="X59">IFERROR(_xlfn.IFS(I59="Block",1),"")</f>
        <v/>
      </c>
      <c r="Y59" s="16" t="str" cm="1">
        <f t="array" ref="Y59">IFERROR(_xlfn.IFS(I59="Block Received",1),"")</f>
        <v/>
      </c>
      <c r="Z59" s="16" t="str" cm="1">
        <f t="array" ref="Z59">IFERROR(_xlfn.IFS(I59="Foul",1,I59="Foul Technical",1,I59="Offensive Foul",1),"")</f>
        <v/>
      </c>
      <c r="AA59" s="16" t="str" cm="1">
        <f t="array" ref="AA59">IFERROR(_xlfn.IFS(I59="Foul Received",1),"")</f>
        <v/>
      </c>
      <c r="AB59" s="49" cm="1">
        <f t="array" ref="AB59">IFERROR(_xlfn.IFS(I59="Starting lineup",C59,I59="Substitution - In",C59),"")</f>
        <v>4.3055555555555555E-3</v>
      </c>
      <c r="AC59" s="46" t="str" cm="1">
        <f t="array" ref="AC59">IFERROR(_xlfn.IFS(I59="Finishing lineup",C59,I59="Substitution - Out",C59),"")</f>
        <v/>
      </c>
      <c r="AD59" s="46" t="str" cm="1">
        <f t="array" ref="AD59">IF(AC59&lt;&gt;"",LOOKUP(2,1/((G$2:G58=G59)*(AB$2:AB58&lt;&gt;"")),AB$2:AB58)-AC59,"")</f>
        <v/>
      </c>
      <c r="AE59" s="50" t="str" cm="1">
        <f t="array" ref="AE59">IF(AC59&lt;&gt;"",LOOKUP(2,1/((G$2:G58=G59)*(AB$2:AB58&lt;&gt;"")),AB$2:AB58)-AC59,"")</f>
        <v/>
      </c>
    </row>
    <row r="60" spans="1:31" hidden="1" x14ac:dyDescent="0.35">
      <c r="A60" s="16">
        <v>1</v>
      </c>
      <c r="B60" s="19">
        <v>59</v>
      </c>
      <c r="C60" s="47">
        <v>4.0740740740740737E-3</v>
      </c>
      <c r="D60" s="16">
        <f t="shared" si="4"/>
        <v>5</v>
      </c>
      <c r="E60" s="16">
        <f t="shared" si="1"/>
        <v>52</v>
      </c>
      <c r="F60" s="19" t="s">
        <v>16</v>
      </c>
      <c r="G60" s="16" t="s">
        <v>38</v>
      </c>
      <c r="H60" s="16" t="str">
        <f>_xlfn.XLOOKUP(G60,'1-Players'!$A$2:$A$27,'1-Players'!$D$2:$D$27,"")</f>
        <v>Mikel Sanz</v>
      </c>
      <c r="I60" s="19" t="s">
        <v>112</v>
      </c>
      <c r="J60" s="19" t="s">
        <v>113</v>
      </c>
      <c r="K60" s="16" t="str" cm="1">
        <f t="array" ref="K60">IFERROR(_xlfn.IFS(I60="Free Throw",1,I60="2-Point Shot",2,I60="Dunk",2,I60="3-Point Shot",3),"")</f>
        <v/>
      </c>
      <c r="L60" s="16" t="str" cm="1">
        <f t="array" ref="L60">IFERROR(_xlfn.IFS(J60="Made",1,J60="Missed",0),"")</f>
        <v/>
      </c>
      <c r="M60" s="16" t="str">
        <f t="shared" si="2"/>
        <v/>
      </c>
      <c r="R60" s="16" t="str">
        <f t="shared" si="3"/>
        <v/>
      </c>
      <c r="S60" s="16" t="str" cm="1">
        <f t="array" ref="S60">IFERROR(_xlfn.IFS(I60="Offensive Rebound",1),"")</f>
        <v/>
      </c>
      <c r="T60" s="16" t="str" cm="1">
        <f t="array" ref="T60">IFERROR(_xlfn.IFS(I60="Defensive Rebound",1),"")</f>
        <v/>
      </c>
      <c r="U60" s="16" t="str" cm="1">
        <f t="array" ref="U60">IFERROR(_xlfn.IFS(I60="Assist",1),"")</f>
        <v/>
      </c>
      <c r="V60" s="16" cm="1">
        <f t="array" ref="V60">IFERROR(_xlfn.IFS(I60="Turnover",1),"")</f>
        <v>1</v>
      </c>
      <c r="W60" s="16" t="str" cm="1">
        <f t="array" ref="W60">IFERROR(_xlfn.IFS(I60="Steal",1),"")</f>
        <v/>
      </c>
      <c r="X60" s="16" t="str" cm="1">
        <f t="array" ref="X60">IFERROR(_xlfn.IFS(I60="Block",1),"")</f>
        <v/>
      </c>
      <c r="Y60" s="16" t="str" cm="1">
        <f t="array" ref="Y60">IFERROR(_xlfn.IFS(I60="Block Received",1),"")</f>
        <v/>
      </c>
      <c r="Z60" s="16" t="str" cm="1">
        <f t="array" ref="Z60">IFERROR(_xlfn.IFS(I60="Foul",1,I60="Foul Technical",1,I60="Offensive Foul",1),"")</f>
        <v/>
      </c>
      <c r="AA60" s="16" t="str" cm="1">
        <f t="array" ref="AA60">IFERROR(_xlfn.IFS(I60="Foul Received",1),"")</f>
        <v/>
      </c>
      <c r="AB60" s="49" t="str" cm="1">
        <f t="array" ref="AB60">IFERROR(_xlfn.IFS(I60="Starting lineup",C60,I60="Substitution - In",C60),"")</f>
        <v/>
      </c>
      <c r="AC60" s="46" t="str" cm="1">
        <f t="array" ref="AC60">IFERROR(_xlfn.IFS(I60="Finishing lineup",C60,I60="Substitution - Out",C60),"")</f>
        <v/>
      </c>
      <c r="AD60" s="46" t="str" cm="1">
        <f t="array" ref="AD60">IF(AC60&lt;&gt;"",LOOKUP(2,1/((G$2:G59=G60)*(AB$2:AB59&lt;&gt;"")),AB$2:AB59)-AC60,"")</f>
        <v/>
      </c>
      <c r="AE60" s="50" t="str" cm="1">
        <f t="array" ref="AE60">IF(AC60&lt;&gt;"",LOOKUP(2,1/((G$2:G59=G60)*(AB$2:AB59&lt;&gt;"")),AB$2:AB59)-AC60,"")</f>
        <v/>
      </c>
    </row>
    <row r="61" spans="1:31" hidden="1" x14ac:dyDescent="0.35">
      <c r="A61" s="19">
        <v>1</v>
      </c>
      <c r="B61" s="19">
        <v>60</v>
      </c>
      <c r="C61" s="47">
        <v>3.9930555555555552E-3</v>
      </c>
      <c r="D61" s="16">
        <f t="shared" si="4"/>
        <v>5</v>
      </c>
      <c r="E61" s="16">
        <f t="shared" si="1"/>
        <v>45</v>
      </c>
      <c r="F61" s="19" t="s">
        <v>16</v>
      </c>
      <c r="G61" s="16" t="s">
        <v>74</v>
      </c>
      <c r="H61" s="16" t="str">
        <f>_xlfn.XLOOKUP(G61,'1-Players'!$A$2:$A$27,'1-Players'!$D$2:$D$27,"")</f>
        <v>Melvin Ejim</v>
      </c>
      <c r="I61" s="19" t="s">
        <v>106</v>
      </c>
      <c r="J61" s="19" t="s">
        <v>107</v>
      </c>
      <c r="K61" s="16" t="str" cm="1">
        <f t="array" ref="K61">IFERROR(_xlfn.IFS(I61="Free Throw",1,I61="2-Point Shot",2,I61="Dunk",2,I61="3-Point Shot",3),"")</f>
        <v/>
      </c>
      <c r="L61" s="16" t="str" cm="1">
        <f t="array" ref="L61">IFERROR(_xlfn.IFS(J61="Made",1,J61="Missed",0),"")</f>
        <v/>
      </c>
      <c r="M61" s="16" t="str">
        <f t="shared" si="2"/>
        <v/>
      </c>
      <c r="R61" s="16" t="str">
        <f t="shared" si="3"/>
        <v/>
      </c>
      <c r="S61" s="16" t="str" cm="1">
        <f t="array" ref="S61">IFERROR(_xlfn.IFS(I61="Offensive Rebound",1),"")</f>
        <v/>
      </c>
      <c r="T61" s="16" t="str" cm="1">
        <f t="array" ref="T61">IFERROR(_xlfn.IFS(I61="Defensive Rebound",1),"")</f>
        <v/>
      </c>
      <c r="U61" s="16" t="str" cm="1">
        <f t="array" ref="U61">IFERROR(_xlfn.IFS(I61="Assist",1),"")</f>
        <v/>
      </c>
      <c r="V61" s="16" t="str" cm="1">
        <f t="array" ref="V61">IFERROR(_xlfn.IFS(I61="Turnover",1),"")</f>
        <v/>
      </c>
      <c r="W61" s="16" t="str" cm="1">
        <f t="array" ref="W61">IFERROR(_xlfn.IFS(I61="Steal",1),"")</f>
        <v/>
      </c>
      <c r="X61" s="16" t="str" cm="1">
        <f t="array" ref="X61">IFERROR(_xlfn.IFS(I61="Block",1),"")</f>
        <v/>
      </c>
      <c r="Y61" s="16" t="str" cm="1">
        <f t="array" ref="Y61">IFERROR(_xlfn.IFS(I61="Block Received",1),"")</f>
        <v/>
      </c>
      <c r="Z61" s="16" cm="1">
        <f t="array" ref="Z61">IFERROR(_xlfn.IFS(I61="Foul",1,I61="Foul Technical",1,I61="Offensive Foul",1),"")</f>
        <v>1</v>
      </c>
      <c r="AA61" s="16" t="str" cm="1">
        <f t="array" ref="AA61">IFERROR(_xlfn.IFS(I61="Foul Received",1),"")</f>
        <v/>
      </c>
      <c r="AB61" s="49" t="str" cm="1">
        <f t="array" ref="AB61">IFERROR(_xlfn.IFS(I61="Starting lineup",C61,I61="Substitution - In",C61),"")</f>
        <v/>
      </c>
      <c r="AC61" s="46" t="str" cm="1">
        <f t="array" ref="AC61">IFERROR(_xlfn.IFS(I61="Finishing lineup",C61,I61="Substitution - Out",C61),"")</f>
        <v/>
      </c>
      <c r="AD61" s="46" t="str" cm="1">
        <f t="array" ref="AD61">IF(AC61&lt;&gt;"",LOOKUP(2,1/((G$2:G60=G61)*(AB$2:AB60&lt;&gt;"")),AB$2:AB60)-AC61,"")</f>
        <v/>
      </c>
      <c r="AE61" s="50" t="str" cm="1">
        <f t="array" ref="AE61">IF(AC61&lt;&gt;"",LOOKUP(2,1/((G$2:G60=G61)*(AB$2:AB60&lt;&gt;"")),AB$2:AB60)-AC61,"")</f>
        <v/>
      </c>
    </row>
    <row r="62" spans="1:31" hidden="1" x14ac:dyDescent="0.35">
      <c r="A62" s="16">
        <v>1</v>
      </c>
      <c r="B62" s="19">
        <v>61</v>
      </c>
      <c r="C62" s="47">
        <v>3.9930555555555552E-3</v>
      </c>
      <c r="D62" s="16">
        <f t="shared" si="4"/>
        <v>5</v>
      </c>
      <c r="E62" s="16">
        <f t="shared" si="1"/>
        <v>45</v>
      </c>
      <c r="F62" s="19" t="s">
        <v>46</v>
      </c>
      <c r="G62" s="16" t="s">
        <v>70</v>
      </c>
      <c r="H62" s="16" t="str">
        <f>_xlfn.XLOOKUP(G62,'1-Players'!$A$2:$A$27,'1-Players'!$D$2:$D$27,"")</f>
        <v>Louis Olinde</v>
      </c>
      <c r="I62" s="19" t="s">
        <v>108</v>
      </c>
      <c r="J62" s="19"/>
      <c r="K62" s="16" t="str" cm="1">
        <f t="array" ref="K62">IFERROR(_xlfn.IFS(I62="Free Throw",1,I62="2-Point Shot",2,I62="Dunk",2,I62="3-Point Shot",3),"")</f>
        <v/>
      </c>
      <c r="L62" s="16" t="str" cm="1">
        <f t="array" ref="L62">IFERROR(_xlfn.IFS(J62="Made",1,J62="Missed",0),"")</f>
        <v/>
      </c>
      <c r="M62" s="16" t="str">
        <f t="shared" si="2"/>
        <v/>
      </c>
      <c r="R62" s="16" t="str">
        <f t="shared" si="3"/>
        <v/>
      </c>
      <c r="S62" s="16" t="str" cm="1">
        <f t="array" ref="S62">IFERROR(_xlfn.IFS(I62="Offensive Rebound",1),"")</f>
        <v/>
      </c>
      <c r="T62" s="16" t="str" cm="1">
        <f t="array" ref="T62">IFERROR(_xlfn.IFS(I62="Defensive Rebound",1),"")</f>
        <v/>
      </c>
      <c r="U62" s="16" t="str" cm="1">
        <f t="array" ref="U62">IFERROR(_xlfn.IFS(I62="Assist",1),"")</f>
        <v/>
      </c>
      <c r="V62" s="16" t="str" cm="1">
        <f t="array" ref="V62">IFERROR(_xlfn.IFS(I62="Turnover",1),"")</f>
        <v/>
      </c>
      <c r="W62" s="16" t="str" cm="1">
        <f t="array" ref="W62">IFERROR(_xlfn.IFS(I62="Steal",1),"")</f>
        <v/>
      </c>
      <c r="X62" s="16" t="str" cm="1">
        <f t="array" ref="X62">IFERROR(_xlfn.IFS(I62="Block",1),"")</f>
        <v/>
      </c>
      <c r="Y62" s="16" t="str" cm="1">
        <f t="array" ref="Y62">IFERROR(_xlfn.IFS(I62="Block Received",1),"")</f>
        <v/>
      </c>
      <c r="Z62" s="16" t="str" cm="1">
        <f t="array" ref="Z62">IFERROR(_xlfn.IFS(I62="Foul",1,I62="Foul Technical",1,I62="Offensive Foul",1),"")</f>
        <v/>
      </c>
      <c r="AA62" s="16" cm="1">
        <f t="array" ref="AA62">IFERROR(_xlfn.IFS(I62="Foul Received",1),"")</f>
        <v>1</v>
      </c>
      <c r="AB62" s="49" t="str" cm="1">
        <f t="array" ref="AB62">IFERROR(_xlfn.IFS(I62="Starting lineup",C62,I62="Substitution - In",C62),"")</f>
        <v/>
      </c>
      <c r="AC62" s="46" t="str" cm="1">
        <f t="array" ref="AC62">IFERROR(_xlfn.IFS(I62="Finishing lineup",C62,I62="Substitution - Out",C62),"")</f>
        <v/>
      </c>
      <c r="AD62" s="46" t="str" cm="1">
        <f t="array" ref="AD62">IF(AC62&lt;&gt;"",LOOKUP(2,1/((G$2:G61=G62)*(AB$2:AB61&lt;&gt;"")),AB$2:AB61)-AC62,"")</f>
        <v/>
      </c>
      <c r="AE62" s="50" t="str" cm="1">
        <f t="array" ref="AE62">IF(AC62&lt;&gt;"",LOOKUP(2,1/((G$2:G61=G62)*(AB$2:AB61&lt;&gt;"")),AB$2:AB61)-AC62,"")</f>
        <v/>
      </c>
    </row>
    <row r="63" spans="1:31" hidden="1" x14ac:dyDescent="0.35">
      <c r="A63" s="16">
        <v>1</v>
      </c>
      <c r="B63" s="19">
        <v>62</v>
      </c>
      <c r="C63" s="47">
        <v>3.9930555555555552E-3</v>
      </c>
      <c r="D63" s="16">
        <f t="shared" si="4"/>
        <v>5</v>
      </c>
      <c r="E63" s="16">
        <f t="shared" si="1"/>
        <v>45</v>
      </c>
      <c r="F63" s="19" t="s">
        <v>46</v>
      </c>
      <c r="G63" s="16" t="s">
        <v>35</v>
      </c>
      <c r="H63" s="16" t="str">
        <f>_xlfn.XLOOKUP(G63,'1-Players'!$A$2:$A$27,'1-Players'!$D$2:$D$27,"")</f>
        <v>Grant Golden</v>
      </c>
      <c r="I63" s="19" t="s">
        <v>110</v>
      </c>
      <c r="K63" s="16" t="str" cm="1">
        <f t="array" ref="K63">IFERROR(_xlfn.IFS(I63="Free Throw",1,I63="2-Point Shot",2,I63="Dunk",2,I63="3-Point Shot",3),"")</f>
        <v/>
      </c>
      <c r="L63" s="16" t="str" cm="1">
        <f t="array" ref="L63">IFERROR(_xlfn.IFS(J63="Made",1,J63="Missed",0),"")</f>
        <v/>
      </c>
      <c r="M63" s="16" t="str">
        <f t="shared" si="2"/>
        <v/>
      </c>
      <c r="R63" s="16" t="str">
        <f t="shared" si="3"/>
        <v/>
      </c>
      <c r="S63" s="16" t="str" cm="1">
        <f t="array" ref="S63">IFERROR(_xlfn.IFS(I63="Offensive Rebound",1),"")</f>
        <v/>
      </c>
      <c r="T63" s="16" t="str" cm="1">
        <f t="array" ref="T63">IFERROR(_xlfn.IFS(I63="Defensive Rebound",1),"")</f>
        <v/>
      </c>
      <c r="U63" s="16" t="str" cm="1">
        <f t="array" ref="U63">IFERROR(_xlfn.IFS(I63="Assist",1),"")</f>
        <v/>
      </c>
      <c r="V63" s="16" t="str" cm="1">
        <f t="array" ref="V63">IFERROR(_xlfn.IFS(I63="Turnover",1),"")</f>
        <v/>
      </c>
      <c r="W63" s="16" t="str" cm="1">
        <f t="array" ref="W63">IFERROR(_xlfn.IFS(I63="Steal",1),"")</f>
        <v/>
      </c>
      <c r="X63" s="16" t="str" cm="1">
        <f t="array" ref="X63">IFERROR(_xlfn.IFS(I63="Block",1),"")</f>
        <v/>
      </c>
      <c r="Y63" s="16" t="str" cm="1">
        <f t="array" ref="Y63">IFERROR(_xlfn.IFS(I63="Block Received",1),"")</f>
        <v/>
      </c>
      <c r="Z63" s="16" t="str" cm="1">
        <f t="array" ref="Z63">IFERROR(_xlfn.IFS(I63="Foul",1,I63="Foul Technical",1,I63="Offensive Foul",1),"")</f>
        <v/>
      </c>
      <c r="AA63" s="16" t="str" cm="1">
        <f t="array" ref="AA63">IFERROR(_xlfn.IFS(I63="Foul Received",1),"")</f>
        <v/>
      </c>
      <c r="AB63" s="49" t="str" cm="1">
        <f t="array" ref="AB63">IFERROR(_xlfn.IFS(I63="Starting lineup",C63,I63="Substitution - In",C63),"")</f>
        <v/>
      </c>
      <c r="AC63" s="46" cm="1">
        <f t="array" ref="AC63">IFERROR(_xlfn.IFS(I63="Finishing lineup",C63,I63="Substitution - Out",C63),"")</f>
        <v>3.9930555555555552E-3</v>
      </c>
      <c r="AD63" s="46" cm="1">
        <f t="array" ref="AD63">IF(AC63&lt;&gt;"",LOOKUP(2,1/((G$2:G62=G63)*(AB$2:AB62&lt;&gt;"")),AB$2:AB62)-AC63,"")</f>
        <v>2.9513888888888845E-3</v>
      </c>
      <c r="AE63" s="50" cm="1">
        <f t="array" ref="AE63">IF(AC63&lt;&gt;"",LOOKUP(2,1/((G$2:G62=G63)*(AB$2:AB62&lt;&gt;"")),AB$2:AB62)-AC63,"")</f>
        <v>2.9513888888888845E-3</v>
      </c>
    </row>
    <row r="64" spans="1:31" hidden="1" x14ac:dyDescent="0.35">
      <c r="A64" s="16">
        <v>1</v>
      </c>
      <c r="B64" s="19">
        <v>63</v>
      </c>
      <c r="C64" s="47">
        <v>3.9930555555555552E-3</v>
      </c>
      <c r="D64" s="16">
        <f t="shared" si="4"/>
        <v>5</v>
      </c>
      <c r="E64" s="16">
        <f t="shared" si="1"/>
        <v>45</v>
      </c>
      <c r="F64" s="19" t="s">
        <v>46</v>
      </c>
      <c r="G64" s="16" t="s">
        <v>27</v>
      </c>
      <c r="H64" s="16" t="str">
        <f>_xlfn.XLOOKUP(G64,'1-Players'!$A$2:$A$27,'1-Players'!$D$2:$D$27,"")</f>
        <v>Kaodirichi Akobundu</v>
      </c>
      <c r="I64" s="19" t="s">
        <v>111</v>
      </c>
      <c r="K64" s="16" t="str" cm="1">
        <f t="array" ref="K64">IFERROR(_xlfn.IFS(I64="Free Throw",1,I64="2-Point Shot",2,I64="Dunk",2,I64="3-Point Shot",3),"")</f>
        <v/>
      </c>
      <c r="L64" s="16" t="str" cm="1">
        <f t="array" ref="L64">IFERROR(_xlfn.IFS(J64="Made",1,J64="Missed",0),"")</f>
        <v/>
      </c>
      <c r="M64" s="16" t="str">
        <f t="shared" si="2"/>
        <v/>
      </c>
      <c r="R64" s="16" t="str">
        <f t="shared" si="3"/>
        <v/>
      </c>
      <c r="S64" s="16" t="str" cm="1">
        <f t="array" ref="S64">IFERROR(_xlfn.IFS(I64="Offensive Rebound",1),"")</f>
        <v/>
      </c>
      <c r="T64" s="16" t="str" cm="1">
        <f t="array" ref="T64">IFERROR(_xlfn.IFS(I64="Defensive Rebound",1),"")</f>
        <v/>
      </c>
      <c r="U64" s="16" t="str" cm="1">
        <f t="array" ref="U64">IFERROR(_xlfn.IFS(I64="Assist",1),"")</f>
        <v/>
      </c>
      <c r="V64" s="16" t="str" cm="1">
        <f t="array" ref="V64">IFERROR(_xlfn.IFS(I64="Turnover",1),"")</f>
        <v/>
      </c>
      <c r="W64" s="16" t="str" cm="1">
        <f t="array" ref="W64">IFERROR(_xlfn.IFS(I64="Steal",1),"")</f>
        <v/>
      </c>
      <c r="X64" s="16" t="str" cm="1">
        <f t="array" ref="X64">IFERROR(_xlfn.IFS(I64="Block",1),"")</f>
        <v/>
      </c>
      <c r="Y64" s="16" t="str" cm="1">
        <f t="array" ref="Y64">IFERROR(_xlfn.IFS(I64="Block Received",1),"")</f>
        <v/>
      </c>
      <c r="Z64" s="16" t="str" cm="1">
        <f t="array" ref="Z64">IFERROR(_xlfn.IFS(I64="Foul",1,I64="Foul Technical",1,I64="Offensive Foul",1),"")</f>
        <v/>
      </c>
      <c r="AA64" s="16" t="str" cm="1">
        <f t="array" ref="AA64">IFERROR(_xlfn.IFS(I64="Foul Received",1),"")</f>
        <v/>
      </c>
      <c r="AB64" s="49" cm="1">
        <f t="array" ref="AB64">IFERROR(_xlfn.IFS(I64="Starting lineup",C64,I64="Substitution - In",C64),"")</f>
        <v>3.9930555555555552E-3</v>
      </c>
      <c r="AC64" s="46" t="str" cm="1">
        <f t="array" ref="AC64">IFERROR(_xlfn.IFS(I64="Finishing lineup",C64,I64="Substitution - Out",C64),"")</f>
        <v/>
      </c>
      <c r="AD64" s="46" t="str" cm="1">
        <f t="array" ref="AD64">IF(AC64&lt;&gt;"",LOOKUP(2,1/((G$2:G63=G64)*(AB$2:AB63&lt;&gt;"")),AB$2:AB63)-AC64,"")</f>
        <v/>
      </c>
      <c r="AE64" s="50" t="str" cm="1">
        <f t="array" ref="AE64">IF(AC64&lt;&gt;"",LOOKUP(2,1/((G$2:G63=G64)*(AB$2:AB63&lt;&gt;"")),AB$2:AB63)-AC64,"")</f>
        <v/>
      </c>
    </row>
    <row r="65" spans="1:31" hidden="1" x14ac:dyDescent="0.35">
      <c r="A65" s="16">
        <v>1</v>
      </c>
      <c r="B65" s="19">
        <v>64</v>
      </c>
      <c r="C65" s="47">
        <v>3.9930555555555552E-3</v>
      </c>
      <c r="D65" s="16">
        <f t="shared" si="4"/>
        <v>5</v>
      </c>
      <c r="E65" s="16">
        <f t="shared" si="1"/>
        <v>45</v>
      </c>
      <c r="F65" s="19" t="s">
        <v>16</v>
      </c>
      <c r="G65" s="16" t="s">
        <v>74</v>
      </c>
      <c r="H65" s="16" t="str">
        <f>_xlfn.XLOOKUP(G65,'1-Players'!$A$2:$A$27,'1-Players'!$D$2:$D$27,"")</f>
        <v>Melvin Ejim</v>
      </c>
      <c r="I65" s="19" t="s">
        <v>110</v>
      </c>
      <c r="K65" s="16" t="str" cm="1">
        <f t="array" ref="K65">IFERROR(_xlfn.IFS(I65="Free Throw",1,I65="2-Point Shot",2,I65="Dunk",2,I65="3-Point Shot",3),"")</f>
        <v/>
      </c>
      <c r="L65" s="16" t="str" cm="1">
        <f t="array" ref="L65">IFERROR(_xlfn.IFS(J65="Made",1,J65="Missed",0),"")</f>
        <v/>
      </c>
      <c r="M65" s="16" t="str">
        <f t="shared" si="2"/>
        <v/>
      </c>
      <c r="R65" s="16" t="str">
        <f t="shared" si="3"/>
        <v/>
      </c>
      <c r="S65" s="16" t="str" cm="1">
        <f t="array" ref="S65">IFERROR(_xlfn.IFS(I65="Offensive Rebound",1),"")</f>
        <v/>
      </c>
      <c r="T65" s="16" t="str" cm="1">
        <f t="array" ref="T65">IFERROR(_xlfn.IFS(I65="Defensive Rebound",1),"")</f>
        <v/>
      </c>
      <c r="U65" s="16" t="str" cm="1">
        <f t="array" ref="U65">IFERROR(_xlfn.IFS(I65="Assist",1),"")</f>
        <v/>
      </c>
      <c r="V65" s="16" t="str" cm="1">
        <f t="array" ref="V65">IFERROR(_xlfn.IFS(I65="Turnover",1),"")</f>
        <v/>
      </c>
      <c r="W65" s="16" t="str" cm="1">
        <f t="array" ref="W65">IFERROR(_xlfn.IFS(I65="Steal",1),"")</f>
        <v/>
      </c>
      <c r="X65" s="16" t="str" cm="1">
        <f t="array" ref="X65">IFERROR(_xlfn.IFS(I65="Block",1),"")</f>
        <v/>
      </c>
      <c r="Y65" s="16" t="str" cm="1">
        <f t="array" ref="Y65">IFERROR(_xlfn.IFS(I65="Block Received",1),"")</f>
        <v/>
      </c>
      <c r="Z65" s="16" t="str" cm="1">
        <f t="array" ref="Z65">IFERROR(_xlfn.IFS(I65="Foul",1,I65="Foul Technical",1,I65="Offensive Foul",1),"")</f>
        <v/>
      </c>
      <c r="AA65" s="16" t="str" cm="1">
        <f t="array" ref="AA65">IFERROR(_xlfn.IFS(I65="Foul Received",1),"")</f>
        <v/>
      </c>
      <c r="AB65" s="49" t="str" cm="1">
        <f t="array" ref="AB65">IFERROR(_xlfn.IFS(I65="Starting lineup",C65,I65="Substitution - In",C65),"")</f>
        <v/>
      </c>
      <c r="AC65" s="46" cm="1">
        <f t="array" ref="AC65">IFERROR(_xlfn.IFS(I65="Finishing lineup",C65,I65="Substitution - Out",C65),"")</f>
        <v>3.9930555555555552E-3</v>
      </c>
      <c r="AD65" s="46" cm="1">
        <f t="array" ref="AD65">IF(AC65&lt;&gt;"",LOOKUP(2,1/((G$2:G64=G65)*(AB$2:AB64&lt;&gt;"")),AB$2:AB64)-AC65,"")</f>
        <v>2.9513888888888845E-3</v>
      </c>
      <c r="AE65" s="50" cm="1">
        <f t="array" ref="AE65">IF(AC65&lt;&gt;"",LOOKUP(2,1/((G$2:G64=G65)*(AB$2:AB64&lt;&gt;"")),AB$2:AB64)-AC65,"")</f>
        <v>2.9513888888888845E-3</v>
      </c>
    </row>
    <row r="66" spans="1:31" hidden="1" x14ac:dyDescent="0.35">
      <c r="A66" s="16">
        <v>1</v>
      </c>
      <c r="B66" s="19">
        <v>65</v>
      </c>
      <c r="C66" s="47">
        <v>3.9930555555555552E-3</v>
      </c>
      <c r="D66" s="16">
        <f t="shared" si="4"/>
        <v>5</v>
      </c>
      <c r="E66" s="16">
        <f t="shared" si="1"/>
        <v>45</v>
      </c>
      <c r="F66" s="19" t="s">
        <v>16</v>
      </c>
      <c r="G66" s="16" t="s">
        <v>20</v>
      </c>
      <c r="H66" s="16" t="str">
        <f>_xlfn.XLOOKUP(G66,'1-Players'!$A$2:$A$27,'1-Players'!$D$2:$D$27,"")</f>
        <v>Caleb Agada</v>
      </c>
      <c r="I66" s="19" t="s">
        <v>110</v>
      </c>
      <c r="K66" s="16" t="str" cm="1">
        <f t="array" ref="K66">IFERROR(_xlfn.IFS(I66="Free Throw",1,I66="2-Point Shot",2,I66="Dunk",2,I66="3-Point Shot",3),"")</f>
        <v/>
      </c>
      <c r="L66" s="16" t="str" cm="1">
        <f t="array" ref="L66">IFERROR(_xlfn.IFS(J66="Made",1,J66="Missed",0),"")</f>
        <v/>
      </c>
      <c r="M66" s="16" t="str">
        <f t="shared" si="2"/>
        <v/>
      </c>
      <c r="R66" s="16" t="str">
        <f t="shared" si="3"/>
        <v/>
      </c>
      <c r="S66" s="16" t="str" cm="1">
        <f t="array" ref="S66">IFERROR(_xlfn.IFS(I66="Offensive Rebound",1),"")</f>
        <v/>
      </c>
      <c r="T66" s="16" t="str" cm="1">
        <f t="array" ref="T66">IFERROR(_xlfn.IFS(I66="Defensive Rebound",1),"")</f>
        <v/>
      </c>
      <c r="U66" s="16" t="str" cm="1">
        <f t="array" ref="U66">IFERROR(_xlfn.IFS(I66="Assist",1),"")</f>
        <v/>
      </c>
      <c r="V66" s="16" t="str" cm="1">
        <f t="array" ref="V66">IFERROR(_xlfn.IFS(I66="Turnover",1),"")</f>
        <v/>
      </c>
      <c r="W66" s="16" t="str" cm="1">
        <f t="array" ref="W66">IFERROR(_xlfn.IFS(I66="Steal",1),"")</f>
        <v/>
      </c>
      <c r="X66" s="16" t="str" cm="1">
        <f t="array" ref="X66">IFERROR(_xlfn.IFS(I66="Block",1),"")</f>
        <v/>
      </c>
      <c r="Y66" s="16" t="str" cm="1">
        <f t="array" ref="Y66">IFERROR(_xlfn.IFS(I66="Block Received",1),"")</f>
        <v/>
      </c>
      <c r="Z66" s="16" t="str" cm="1">
        <f t="array" ref="Z66">IFERROR(_xlfn.IFS(I66="Foul",1,I66="Foul Technical",1,I66="Offensive Foul",1),"")</f>
        <v/>
      </c>
      <c r="AA66" s="16" t="str" cm="1">
        <f t="array" ref="AA66">IFERROR(_xlfn.IFS(I66="Foul Received",1),"")</f>
        <v/>
      </c>
      <c r="AB66" s="49" t="str" cm="1">
        <f t="array" ref="AB66">IFERROR(_xlfn.IFS(I66="Starting lineup",C66,I66="Substitution - In",C66),"")</f>
        <v/>
      </c>
      <c r="AC66" s="46" cm="1">
        <f t="array" ref="AC66">IFERROR(_xlfn.IFS(I66="Finishing lineup",C66,I66="Substitution - Out",C66),"")</f>
        <v>3.9930555555555552E-3</v>
      </c>
      <c r="AD66" s="46" cm="1">
        <f t="array" ref="AD66">IF(AC66&lt;&gt;"",LOOKUP(2,1/((G$2:G65=G66)*(AB$2:AB65&lt;&gt;"")),AB$2:AB65)-AC66,"")</f>
        <v>2.9513888888888888E-3</v>
      </c>
      <c r="AE66" s="50" cm="1">
        <f t="array" ref="AE66">IF(AC66&lt;&gt;"",LOOKUP(2,1/((G$2:G65=G66)*(AB$2:AB65&lt;&gt;"")),AB$2:AB65)-AC66,"")</f>
        <v>2.9513888888888888E-3</v>
      </c>
    </row>
    <row r="67" spans="1:31" hidden="1" x14ac:dyDescent="0.35">
      <c r="A67" s="16">
        <v>1</v>
      </c>
      <c r="B67" s="19">
        <v>66</v>
      </c>
      <c r="C67" s="47">
        <v>3.9930555555555552E-3</v>
      </c>
      <c r="D67" s="16">
        <f t="shared" si="4"/>
        <v>5</v>
      </c>
      <c r="E67" s="16">
        <f t="shared" ref="E67:E130" si="5">SECOND(C67)</f>
        <v>45</v>
      </c>
      <c r="F67" s="19" t="s">
        <v>16</v>
      </c>
      <c r="G67" s="16" t="s">
        <v>38</v>
      </c>
      <c r="H67" s="16" t="str">
        <f>_xlfn.XLOOKUP(G67,'1-Players'!$A$2:$A$27,'1-Players'!$D$2:$D$27,"")</f>
        <v>Mikel Sanz</v>
      </c>
      <c r="I67" s="19" t="s">
        <v>110</v>
      </c>
      <c r="K67" s="16" t="str" cm="1">
        <f t="array" ref="K67">IFERROR(_xlfn.IFS(I67="Free Throw",1,I67="2-Point Shot",2,I67="Dunk",2,I67="3-Point Shot",3),"")</f>
        <v/>
      </c>
      <c r="L67" s="16" t="str" cm="1">
        <f t="array" ref="L67">IFERROR(_xlfn.IFS(J67="Made",1,J67="Missed",0),"")</f>
        <v/>
      </c>
      <c r="M67" s="16" t="str">
        <f t="shared" ref="M67:M130" si="6">IFERROR(K67*L67,"")</f>
        <v/>
      </c>
      <c r="R67" s="16" t="str">
        <f t="shared" ref="R67:R130" si="7">IF(J67&lt;&gt;"Made","",IF(I68="Assist","S","N"))</f>
        <v/>
      </c>
      <c r="S67" s="16" t="str" cm="1">
        <f t="array" ref="S67">IFERROR(_xlfn.IFS(I67="Offensive Rebound",1),"")</f>
        <v/>
      </c>
      <c r="T67" s="16" t="str" cm="1">
        <f t="array" ref="T67">IFERROR(_xlfn.IFS(I67="Defensive Rebound",1),"")</f>
        <v/>
      </c>
      <c r="U67" s="16" t="str" cm="1">
        <f t="array" ref="U67">IFERROR(_xlfn.IFS(I67="Assist",1),"")</f>
        <v/>
      </c>
      <c r="V67" s="16" t="str" cm="1">
        <f t="array" ref="V67">IFERROR(_xlfn.IFS(I67="Turnover",1),"")</f>
        <v/>
      </c>
      <c r="W67" s="16" t="str" cm="1">
        <f t="array" ref="W67">IFERROR(_xlfn.IFS(I67="Steal",1),"")</f>
        <v/>
      </c>
      <c r="X67" s="16" t="str" cm="1">
        <f t="array" ref="X67">IFERROR(_xlfn.IFS(I67="Block",1),"")</f>
        <v/>
      </c>
      <c r="Y67" s="16" t="str" cm="1">
        <f t="array" ref="Y67">IFERROR(_xlfn.IFS(I67="Block Received",1),"")</f>
        <v/>
      </c>
      <c r="Z67" s="16" t="str" cm="1">
        <f t="array" ref="Z67">IFERROR(_xlfn.IFS(I67="Foul",1,I67="Foul Technical",1,I67="Offensive Foul",1),"")</f>
        <v/>
      </c>
      <c r="AA67" s="16" t="str" cm="1">
        <f t="array" ref="AA67">IFERROR(_xlfn.IFS(I67="Foul Received",1),"")</f>
        <v/>
      </c>
      <c r="AB67" s="49" t="str" cm="1">
        <f t="array" ref="AB67">IFERROR(_xlfn.IFS(I67="Starting lineup",C67,I67="Substitution - In",C67),"")</f>
        <v/>
      </c>
      <c r="AC67" s="46" cm="1">
        <f t="array" ref="AC67">IFERROR(_xlfn.IFS(I67="Finishing lineup",C67,I67="Substitution - Out",C67),"")</f>
        <v>3.9930555555555552E-3</v>
      </c>
      <c r="AD67" s="46" cm="1">
        <f t="array" ref="AD67">IF(AC67&lt;&gt;"",LOOKUP(2,1/((G$2:G66=G67)*(AB$2:AB66&lt;&gt;"")),AB$2:AB66)-AC67,"")</f>
        <v>2.9513888888888888E-3</v>
      </c>
      <c r="AE67" s="50" cm="1">
        <f t="array" ref="AE67">IF(AC67&lt;&gt;"",LOOKUP(2,1/((G$2:G66=G67)*(AB$2:AB66&lt;&gt;"")),AB$2:AB66)-AC67,"")</f>
        <v>2.9513888888888888E-3</v>
      </c>
    </row>
    <row r="68" spans="1:31" hidden="1" x14ac:dyDescent="0.35">
      <c r="A68" s="16">
        <v>1</v>
      </c>
      <c r="B68" s="19">
        <v>67</v>
      </c>
      <c r="C68" s="47">
        <v>3.9930555555555552E-3</v>
      </c>
      <c r="D68" s="16">
        <f t="shared" si="4"/>
        <v>5</v>
      </c>
      <c r="E68" s="16">
        <f t="shared" si="5"/>
        <v>45</v>
      </c>
      <c r="F68" s="19" t="s">
        <v>16</v>
      </c>
      <c r="G68" s="16" t="s">
        <v>39</v>
      </c>
      <c r="H68" s="16" t="str">
        <f>_xlfn.XLOOKUP(G68,'1-Players'!$A$2:$A$27,'1-Players'!$D$2:$D$27,"")</f>
        <v>Millán Jiménez</v>
      </c>
      <c r="I68" s="19" t="s">
        <v>111</v>
      </c>
      <c r="K68" s="16" t="str" cm="1">
        <f t="array" ref="K68">IFERROR(_xlfn.IFS(I68="Free Throw",1,I68="2-Point Shot",2,I68="Dunk",2,I68="3-Point Shot",3),"")</f>
        <v/>
      </c>
      <c r="L68" s="16" t="str" cm="1">
        <f t="array" ref="L68">IFERROR(_xlfn.IFS(J68="Made",1,J68="Missed",0),"")</f>
        <v/>
      </c>
      <c r="M68" s="16" t="str">
        <f t="shared" si="6"/>
        <v/>
      </c>
      <c r="R68" s="16" t="str">
        <f t="shared" si="7"/>
        <v/>
      </c>
      <c r="S68" s="16" t="str" cm="1">
        <f t="array" ref="S68">IFERROR(_xlfn.IFS(I68="Offensive Rebound",1),"")</f>
        <v/>
      </c>
      <c r="T68" s="16" t="str" cm="1">
        <f t="array" ref="T68">IFERROR(_xlfn.IFS(I68="Defensive Rebound",1),"")</f>
        <v/>
      </c>
      <c r="U68" s="16" t="str" cm="1">
        <f t="array" ref="U68">IFERROR(_xlfn.IFS(I68="Assist",1),"")</f>
        <v/>
      </c>
      <c r="V68" s="16" t="str" cm="1">
        <f t="array" ref="V68">IFERROR(_xlfn.IFS(I68="Turnover",1),"")</f>
        <v/>
      </c>
      <c r="W68" s="16" t="str" cm="1">
        <f t="array" ref="W68">IFERROR(_xlfn.IFS(I68="Steal",1),"")</f>
        <v/>
      </c>
      <c r="X68" s="16" t="str" cm="1">
        <f t="array" ref="X68">IFERROR(_xlfn.IFS(I68="Block",1),"")</f>
        <v/>
      </c>
      <c r="Y68" s="16" t="str" cm="1">
        <f t="array" ref="Y68">IFERROR(_xlfn.IFS(I68="Block Received",1),"")</f>
        <v/>
      </c>
      <c r="Z68" s="16" t="str" cm="1">
        <f t="array" ref="Z68">IFERROR(_xlfn.IFS(I68="Foul",1,I68="Foul Technical",1,I68="Offensive Foul",1),"")</f>
        <v/>
      </c>
      <c r="AA68" s="16" t="str" cm="1">
        <f t="array" ref="AA68">IFERROR(_xlfn.IFS(I68="Foul Received",1),"")</f>
        <v/>
      </c>
      <c r="AB68" s="49" cm="1">
        <f t="array" ref="AB68">IFERROR(_xlfn.IFS(I68="Starting lineup",C68,I68="Substitution - In",C68),"")</f>
        <v>3.9930555555555552E-3</v>
      </c>
      <c r="AC68" s="46" t="str" cm="1">
        <f t="array" ref="AC68">IFERROR(_xlfn.IFS(I68="Finishing lineup",C68,I68="Substitution - Out",C68),"")</f>
        <v/>
      </c>
      <c r="AD68" s="46" t="str" cm="1">
        <f t="array" ref="AD68">IF(AC68&lt;&gt;"",LOOKUP(2,1/((G$2:G67=G68)*(AB$2:AB67&lt;&gt;"")),AB$2:AB67)-AC68,"")</f>
        <v/>
      </c>
      <c r="AE68" s="50" t="str" cm="1">
        <f t="array" ref="AE68">IF(AC68&lt;&gt;"",LOOKUP(2,1/((G$2:G67=G68)*(AB$2:AB67&lt;&gt;"")),AB$2:AB67)-AC68,"")</f>
        <v/>
      </c>
    </row>
    <row r="69" spans="1:31" hidden="1" x14ac:dyDescent="0.35">
      <c r="A69" s="16">
        <v>1</v>
      </c>
      <c r="B69" s="19">
        <v>68</v>
      </c>
      <c r="C69" s="47">
        <v>3.9930555555555552E-3</v>
      </c>
      <c r="D69" s="16">
        <f t="shared" si="4"/>
        <v>5</v>
      </c>
      <c r="E69" s="16">
        <f t="shared" si="5"/>
        <v>45</v>
      </c>
      <c r="F69" s="19" t="s">
        <v>16</v>
      </c>
      <c r="G69" s="16" t="s">
        <v>24</v>
      </c>
      <c r="H69" s="16" t="str">
        <f>_xlfn.XLOOKUP(G69,'1-Players'!$A$2:$A$27,'1-Players'!$D$2:$D$27,"")</f>
        <v>Kristers Zoriks</v>
      </c>
      <c r="I69" s="19" t="s">
        <v>111</v>
      </c>
      <c r="K69" s="16" t="str" cm="1">
        <f t="array" ref="K69">IFERROR(_xlfn.IFS(I69="Free Throw",1,I69="2-Point Shot",2,I69="Dunk",2,I69="3-Point Shot",3),"")</f>
        <v/>
      </c>
      <c r="L69" s="16" t="str" cm="1">
        <f t="array" ref="L69">IFERROR(_xlfn.IFS(J69="Made",1,J69="Missed",0),"")</f>
        <v/>
      </c>
      <c r="M69" s="16" t="str">
        <f t="shared" si="6"/>
        <v/>
      </c>
      <c r="R69" s="16" t="str">
        <f t="shared" si="7"/>
        <v/>
      </c>
      <c r="S69" s="16" t="str" cm="1">
        <f t="array" ref="S69">IFERROR(_xlfn.IFS(I69="Offensive Rebound",1),"")</f>
        <v/>
      </c>
      <c r="T69" s="16" t="str" cm="1">
        <f t="array" ref="T69">IFERROR(_xlfn.IFS(I69="Defensive Rebound",1),"")</f>
        <v/>
      </c>
      <c r="U69" s="16" t="str" cm="1">
        <f t="array" ref="U69">IFERROR(_xlfn.IFS(I69="Assist",1),"")</f>
        <v/>
      </c>
      <c r="V69" s="16" t="str" cm="1">
        <f t="array" ref="V69">IFERROR(_xlfn.IFS(I69="Turnover",1),"")</f>
        <v/>
      </c>
      <c r="W69" s="16" t="str" cm="1">
        <f t="array" ref="W69">IFERROR(_xlfn.IFS(I69="Steal",1),"")</f>
        <v/>
      </c>
      <c r="X69" s="16" t="str" cm="1">
        <f t="array" ref="X69">IFERROR(_xlfn.IFS(I69="Block",1),"")</f>
        <v/>
      </c>
      <c r="Y69" s="16" t="str" cm="1">
        <f t="array" ref="Y69">IFERROR(_xlfn.IFS(I69="Block Received",1),"")</f>
        <v/>
      </c>
      <c r="Z69" s="16" t="str" cm="1">
        <f t="array" ref="Z69">IFERROR(_xlfn.IFS(I69="Foul",1,I69="Foul Technical",1,I69="Offensive Foul",1),"")</f>
        <v/>
      </c>
      <c r="AA69" s="16" t="str" cm="1">
        <f t="array" ref="AA69">IFERROR(_xlfn.IFS(I69="Foul Received",1),"")</f>
        <v/>
      </c>
      <c r="AB69" s="49" cm="1">
        <f t="array" ref="AB69">IFERROR(_xlfn.IFS(I69="Starting lineup",C69,I69="Substitution - In",C69),"")</f>
        <v>3.9930555555555552E-3</v>
      </c>
      <c r="AC69" s="46" t="str" cm="1">
        <f t="array" ref="AC69">IFERROR(_xlfn.IFS(I69="Finishing lineup",C69,I69="Substitution - Out",C69),"")</f>
        <v/>
      </c>
      <c r="AD69" s="46" t="str" cm="1">
        <f t="array" ref="AD69">IF(AC69&lt;&gt;"",LOOKUP(2,1/((G$2:G68=G69)*(AB$2:AB68&lt;&gt;"")),AB$2:AB68)-AC69,"")</f>
        <v/>
      </c>
      <c r="AE69" s="50" t="str" cm="1">
        <f t="array" ref="AE69">IF(AC69&lt;&gt;"",LOOKUP(2,1/((G$2:G68=G69)*(AB$2:AB68&lt;&gt;"")),AB$2:AB68)-AC69,"")</f>
        <v/>
      </c>
    </row>
    <row r="70" spans="1:31" hidden="1" x14ac:dyDescent="0.35">
      <c r="A70" s="16">
        <v>1</v>
      </c>
      <c r="B70" s="19">
        <v>69</v>
      </c>
      <c r="C70" s="47">
        <v>3.9930555555555552E-3</v>
      </c>
      <c r="D70" s="16">
        <f t="shared" si="4"/>
        <v>5</v>
      </c>
      <c r="E70" s="16">
        <f t="shared" si="5"/>
        <v>45</v>
      </c>
      <c r="F70" s="19" t="s">
        <v>16</v>
      </c>
      <c r="G70" s="16" t="s">
        <v>41</v>
      </c>
      <c r="H70" s="16" t="str">
        <f>_xlfn.XLOOKUP(G70,'1-Players'!$A$2:$A$27,'1-Players'!$D$2:$D$27,"")</f>
        <v>John Shurna</v>
      </c>
      <c r="I70" s="19" t="s">
        <v>111</v>
      </c>
      <c r="K70" s="16" t="str" cm="1">
        <f t="array" ref="K70">IFERROR(_xlfn.IFS(I70="Free Throw",1,I70="2-Point Shot",2,I70="Dunk",2,I70="3-Point Shot",3),"")</f>
        <v/>
      </c>
      <c r="L70" s="16" t="str" cm="1">
        <f t="array" ref="L70">IFERROR(_xlfn.IFS(J70="Made",1,J70="Missed",0),"")</f>
        <v/>
      </c>
      <c r="M70" s="16" t="str">
        <f t="shared" si="6"/>
        <v/>
      </c>
      <c r="R70" s="16" t="str">
        <f t="shared" si="7"/>
        <v/>
      </c>
      <c r="S70" s="16" t="str" cm="1">
        <f t="array" ref="S70">IFERROR(_xlfn.IFS(I70="Offensive Rebound",1),"")</f>
        <v/>
      </c>
      <c r="T70" s="16" t="str" cm="1">
        <f t="array" ref="T70">IFERROR(_xlfn.IFS(I70="Defensive Rebound",1),"")</f>
        <v/>
      </c>
      <c r="U70" s="16" t="str" cm="1">
        <f t="array" ref="U70">IFERROR(_xlfn.IFS(I70="Assist",1),"")</f>
        <v/>
      </c>
      <c r="V70" s="16" t="str" cm="1">
        <f t="array" ref="V70">IFERROR(_xlfn.IFS(I70="Turnover",1),"")</f>
        <v/>
      </c>
      <c r="W70" s="16" t="str" cm="1">
        <f t="array" ref="W70">IFERROR(_xlfn.IFS(I70="Steal",1),"")</f>
        <v/>
      </c>
      <c r="X70" s="16" t="str" cm="1">
        <f t="array" ref="X70">IFERROR(_xlfn.IFS(I70="Block",1),"")</f>
        <v/>
      </c>
      <c r="Y70" s="16" t="str" cm="1">
        <f t="array" ref="Y70">IFERROR(_xlfn.IFS(I70="Block Received",1),"")</f>
        <v/>
      </c>
      <c r="Z70" s="16" t="str" cm="1">
        <f t="array" ref="Z70">IFERROR(_xlfn.IFS(I70="Foul",1,I70="Foul Technical",1,I70="Offensive Foul",1),"")</f>
        <v/>
      </c>
      <c r="AA70" s="16" t="str" cm="1">
        <f t="array" ref="AA70">IFERROR(_xlfn.IFS(I70="Foul Received",1),"")</f>
        <v/>
      </c>
      <c r="AB70" s="49" cm="1">
        <f t="array" ref="AB70">IFERROR(_xlfn.IFS(I70="Starting lineup",C70,I70="Substitution - In",C70),"")</f>
        <v>3.9930555555555552E-3</v>
      </c>
      <c r="AC70" s="46" t="str" cm="1">
        <f t="array" ref="AC70">IFERROR(_xlfn.IFS(I70="Finishing lineup",C70,I70="Substitution - Out",C70),"")</f>
        <v/>
      </c>
      <c r="AD70" s="46" t="str" cm="1">
        <f t="array" ref="AD70">IF(AC70&lt;&gt;"",LOOKUP(2,1/((G$2:G69=G70)*(AB$2:AB69&lt;&gt;"")),AB$2:AB69)-AC70,"")</f>
        <v/>
      </c>
      <c r="AE70" s="50" t="str" cm="1">
        <f t="array" ref="AE70">IF(AC70&lt;&gt;"",LOOKUP(2,1/((G$2:G69=G70)*(AB$2:AB69&lt;&gt;"")),AB$2:AB69)-AC70,"")</f>
        <v/>
      </c>
    </row>
    <row r="71" spans="1:31" hidden="1" x14ac:dyDescent="0.35">
      <c r="A71" s="19">
        <v>1</v>
      </c>
      <c r="B71" s="19">
        <v>70</v>
      </c>
      <c r="C71" s="47">
        <v>3.7962962962962963E-3</v>
      </c>
      <c r="D71" s="16">
        <f t="shared" si="4"/>
        <v>5</v>
      </c>
      <c r="E71" s="16">
        <f t="shared" si="5"/>
        <v>28</v>
      </c>
      <c r="F71" s="19" t="s">
        <v>46</v>
      </c>
      <c r="G71" s="16" t="s">
        <v>13</v>
      </c>
      <c r="H71" s="16" t="str">
        <f>_xlfn.XLOOKUP(G71,'1-Players'!$A$2:$A$27,'1-Players'!$D$2:$D$27,"")</f>
        <v>Retin Obasohan</v>
      </c>
      <c r="I71" s="19" t="s">
        <v>82</v>
      </c>
      <c r="J71" s="19" t="s">
        <v>60</v>
      </c>
      <c r="K71" s="16" cm="1">
        <f t="array" ref="K71">IFERROR(_xlfn.IFS(I71="Free Throw",1,I71="2-Point Shot",2,I71="Dunk",2,I71="3-Point Shot",3),"")</f>
        <v>2</v>
      </c>
      <c r="L71" s="16" cm="1">
        <f t="array" ref="L71">IFERROR(_xlfn.IFS(J71="Made",1,J71="Missed",0),"")</f>
        <v>1</v>
      </c>
      <c r="M71" s="16">
        <f t="shared" si="6"/>
        <v>2</v>
      </c>
      <c r="N71" s="16" t="s">
        <v>176</v>
      </c>
      <c r="O71" s="16" t="s">
        <v>179</v>
      </c>
      <c r="P71" s="16">
        <v>0</v>
      </c>
      <c r="Q71" s="16" t="s">
        <v>102</v>
      </c>
      <c r="R71" s="16" t="str">
        <f t="shared" si="7"/>
        <v>N</v>
      </c>
      <c r="S71" s="16" t="str" cm="1">
        <f t="array" ref="S71">IFERROR(_xlfn.IFS(I71="Offensive Rebound",1),"")</f>
        <v/>
      </c>
      <c r="T71" s="16" t="str" cm="1">
        <f t="array" ref="T71">IFERROR(_xlfn.IFS(I71="Defensive Rebound",1),"")</f>
        <v/>
      </c>
      <c r="U71" s="16" t="str" cm="1">
        <f t="array" ref="U71">IFERROR(_xlfn.IFS(I71="Assist",1),"")</f>
        <v/>
      </c>
      <c r="V71" s="16" t="str" cm="1">
        <f t="array" ref="V71">IFERROR(_xlfn.IFS(I71="Turnover",1),"")</f>
        <v/>
      </c>
      <c r="W71" s="16" t="str" cm="1">
        <f t="array" ref="W71">IFERROR(_xlfn.IFS(I71="Steal",1),"")</f>
        <v/>
      </c>
      <c r="X71" s="16" t="str" cm="1">
        <f t="array" ref="X71">IFERROR(_xlfn.IFS(I71="Block",1),"")</f>
        <v/>
      </c>
      <c r="Y71" s="16" t="str" cm="1">
        <f t="array" ref="Y71">IFERROR(_xlfn.IFS(I71="Block Received",1),"")</f>
        <v/>
      </c>
      <c r="Z71" s="16" t="str" cm="1">
        <f t="array" ref="Z71">IFERROR(_xlfn.IFS(I71="Foul",1,I71="Foul Technical",1,I71="Offensive Foul",1),"")</f>
        <v/>
      </c>
      <c r="AA71" s="16" t="str" cm="1">
        <f t="array" ref="AA71">IFERROR(_xlfn.IFS(I71="Foul Received",1),"")</f>
        <v/>
      </c>
      <c r="AB71" s="49" t="str" cm="1">
        <f t="array" ref="AB71">IFERROR(_xlfn.IFS(I71="Starting lineup",C71,I71="Substitution - In",C71),"")</f>
        <v/>
      </c>
      <c r="AC71" s="46" t="str" cm="1">
        <f t="array" ref="AC71">IFERROR(_xlfn.IFS(I71="Finishing lineup",C71,I71="Substitution - Out",C71),"")</f>
        <v/>
      </c>
      <c r="AD71" s="46" t="str" cm="1">
        <f t="array" ref="AD71">IF(AC71&lt;&gt;"",LOOKUP(2,1/((G$2:G70=G71)*(AB$2:AB70&lt;&gt;"")),AB$2:AB70)-AC71,"")</f>
        <v/>
      </c>
      <c r="AE71" s="50" t="str" cm="1">
        <f t="array" ref="AE71">IF(AC71&lt;&gt;"",LOOKUP(2,1/((G$2:G70=G71)*(AB$2:AB70&lt;&gt;"")),AB$2:AB70)-AC71,"")</f>
        <v/>
      </c>
    </row>
    <row r="72" spans="1:31" hidden="1" x14ac:dyDescent="0.35">
      <c r="A72" s="16">
        <v>1</v>
      </c>
      <c r="B72" s="19">
        <v>71</v>
      </c>
      <c r="C72" s="46">
        <v>3.6342592592592594E-3</v>
      </c>
      <c r="D72" s="16">
        <f t="shared" si="4"/>
        <v>5</v>
      </c>
      <c r="E72" s="16">
        <f t="shared" si="5"/>
        <v>14</v>
      </c>
      <c r="F72" s="19" t="s">
        <v>16</v>
      </c>
      <c r="G72" s="16" t="s">
        <v>15</v>
      </c>
      <c r="H72" s="16" t="str">
        <f>_xlfn.XLOOKUP(G72,'1-Players'!$A$2:$A$27,'1-Players'!$D$2:$D$27,"")</f>
        <v>James Batemon</v>
      </c>
      <c r="I72" s="19" t="s">
        <v>114</v>
      </c>
      <c r="K72" s="16" t="str" cm="1">
        <f t="array" ref="K72">IFERROR(_xlfn.IFS(I72="Free Throw",1,I72="2-Point Shot",2,I72="Dunk",2,I72="3-Point Shot",3),"")</f>
        <v/>
      </c>
      <c r="L72" s="16" t="str" cm="1">
        <f t="array" ref="L72">IFERROR(_xlfn.IFS(J72="Made",1,J72="Missed",0),"")</f>
        <v/>
      </c>
      <c r="M72" s="16" t="str">
        <f t="shared" si="6"/>
        <v/>
      </c>
      <c r="R72" s="16" t="str">
        <f t="shared" si="7"/>
        <v/>
      </c>
      <c r="S72" s="16" t="str" cm="1">
        <f t="array" ref="S72">IFERROR(_xlfn.IFS(I72="Offensive Rebound",1),"")</f>
        <v/>
      </c>
      <c r="T72" s="16" t="str" cm="1">
        <f t="array" ref="T72">IFERROR(_xlfn.IFS(I72="Defensive Rebound",1),"")</f>
        <v/>
      </c>
      <c r="U72" s="16" t="str" cm="1">
        <f t="array" ref="U72">IFERROR(_xlfn.IFS(I72="Assist",1),"")</f>
        <v/>
      </c>
      <c r="V72" s="16" t="str" cm="1">
        <f t="array" ref="V72">IFERROR(_xlfn.IFS(I72="Turnover",1),"")</f>
        <v/>
      </c>
      <c r="W72" s="16" t="str" cm="1">
        <f t="array" ref="W72">IFERROR(_xlfn.IFS(I72="Steal",1),"")</f>
        <v/>
      </c>
      <c r="X72" s="16" t="str" cm="1">
        <f t="array" ref="X72">IFERROR(_xlfn.IFS(I72="Block",1),"")</f>
        <v/>
      </c>
      <c r="Y72" s="16" t="str" cm="1">
        <f t="array" ref="Y72">IFERROR(_xlfn.IFS(I72="Block Received",1),"")</f>
        <v/>
      </c>
      <c r="Z72" s="16" cm="1">
        <f t="array" ref="Z72">IFERROR(_xlfn.IFS(I72="Foul",1,I72="Foul Technical",1,I72="Offensive Foul",1),"")</f>
        <v>1</v>
      </c>
      <c r="AA72" s="16" t="str" cm="1">
        <f t="array" ref="AA72">IFERROR(_xlfn.IFS(I72="Foul Received",1),"")</f>
        <v/>
      </c>
      <c r="AB72" s="49" t="str" cm="1">
        <f t="array" ref="AB72">IFERROR(_xlfn.IFS(I72="Starting lineup",C72,I72="Substitution - In",C72),"")</f>
        <v/>
      </c>
      <c r="AC72" s="46" t="str" cm="1">
        <f t="array" ref="AC72">IFERROR(_xlfn.IFS(I72="Finishing lineup",C72,I72="Substitution - Out",C72),"")</f>
        <v/>
      </c>
      <c r="AD72" s="46" t="str" cm="1">
        <f t="array" ref="AD72">IF(AC72&lt;&gt;"",LOOKUP(2,1/((G$2:G71=G72)*(AB$2:AB71&lt;&gt;"")),AB$2:AB71)-AC72,"")</f>
        <v/>
      </c>
      <c r="AE72" s="50" t="str" cm="1">
        <f t="array" ref="AE72">IF(AC72&lt;&gt;"",LOOKUP(2,1/((G$2:G71=G72)*(AB$2:AB71&lt;&gt;"")),AB$2:AB71)-AC72,"")</f>
        <v/>
      </c>
    </row>
    <row r="73" spans="1:31" hidden="1" x14ac:dyDescent="0.35">
      <c r="A73" s="16">
        <v>1</v>
      </c>
      <c r="B73" s="19">
        <v>72</v>
      </c>
      <c r="C73" s="46">
        <v>3.6342592592592594E-3</v>
      </c>
      <c r="D73" s="16">
        <f t="shared" si="4"/>
        <v>5</v>
      </c>
      <c r="E73" s="16">
        <f t="shared" si="5"/>
        <v>14</v>
      </c>
      <c r="F73" s="19" t="s">
        <v>16</v>
      </c>
      <c r="G73" s="16" t="s">
        <v>15</v>
      </c>
      <c r="H73" s="16" t="str">
        <f>_xlfn.XLOOKUP(G73,'1-Players'!$A$2:$A$27,'1-Players'!$D$2:$D$27,"")</f>
        <v>James Batemon</v>
      </c>
      <c r="I73" s="19" t="s">
        <v>112</v>
      </c>
      <c r="K73" s="16" t="str" cm="1">
        <f t="array" ref="K73">IFERROR(_xlfn.IFS(I73="Free Throw",1,I73="2-Point Shot",2,I73="Dunk",2,I73="3-Point Shot",3),"")</f>
        <v/>
      </c>
      <c r="L73" s="16" t="str" cm="1">
        <f t="array" ref="L73">IFERROR(_xlfn.IFS(J73="Made",1,J73="Missed",0),"")</f>
        <v/>
      </c>
      <c r="M73" s="16" t="str">
        <f t="shared" si="6"/>
        <v/>
      </c>
      <c r="R73" s="16" t="str">
        <f t="shared" si="7"/>
        <v/>
      </c>
      <c r="S73" s="16" t="str" cm="1">
        <f t="array" ref="S73">IFERROR(_xlfn.IFS(I73="Offensive Rebound",1),"")</f>
        <v/>
      </c>
      <c r="T73" s="16" t="str" cm="1">
        <f t="array" ref="T73">IFERROR(_xlfn.IFS(I73="Defensive Rebound",1),"")</f>
        <v/>
      </c>
      <c r="U73" s="16" t="str" cm="1">
        <f t="array" ref="U73">IFERROR(_xlfn.IFS(I73="Assist",1),"")</f>
        <v/>
      </c>
      <c r="V73" s="16" cm="1">
        <f t="array" ref="V73">IFERROR(_xlfn.IFS(I73="Turnover",1),"")</f>
        <v>1</v>
      </c>
      <c r="W73" s="16" t="str" cm="1">
        <f t="array" ref="W73">IFERROR(_xlfn.IFS(I73="Steal",1),"")</f>
        <v/>
      </c>
      <c r="X73" s="16" t="str" cm="1">
        <f t="array" ref="X73">IFERROR(_xlfn.IFS(I73="Block",1),"")</f>
        <v/>
      </c>
      <c r="Y73" s="16" t="str" cm="1">
        <f t="array" ref="Y73">IFERROR(_xlfn.IFS(I73="Block Received",1),"")</f>
        <v/>
      </c>
      <c r="Z73" s="16" t="str" cm="1">
        <f t="array" ref="Z73">IFERROR(_xlfn.IFS(I73="Foul",1,I73="Foul Technical",1,I73="Offensive Foul",1),"")</f>
        <v/>
      </c>
      <c r="AA73" s="16" t="str" cm="1">
        <f t="array" ref="AA73">IFERROR(_xlfn.IFS(I73="Foul Received",1),"")</f>
        <v/>
      </c>
      <c r="AB73" s="49" t="str" cm="1">
        <f t="array" ref="AB73">IFERROR(_xlfn.IFS(I73="Starting lineup",C73,I73="Substitution - In",C73),"")</f>
        <v/>
      </c>
      <c r="AC73" s="46" t="str" cm="1">
        <f t="array" ref="AC73">IFERROR(_xlfn.IFS(I73="Finishing lineup",C73,I73="Substitution - Out",C73),"")</f>
        <v/>
      </c>
      <c r="AD73" s="46" t="str" cm="1">
        <f t="array" ref="AD73">IF(AC73&lt;&gt;"",LOOKUP(2,1/((G$2:G72=G73)*(AB$2:AB72&lt;&gt;"")),AB$2:AB72)-AC73,"")</f>
        <v/>
      </c>
      <c r="AE73" s="50" t="str" cm="1">
        <f t="array" ref="AE73">IF(AC73&lt;&gt;"",LOOKUP(2,1/((G$2:G72=G73)*(AB$2:AB72&lt;&gt;"")),AB$2:AB72)-AC73,"")</f>
        <v/>
      </c>
    </row>
    <row r="74" spans="1:31" hidden="1" x14ac:dyDescent="0.35">
      <c r="A74" s="19">
        <v>1</v>
      </c>
      <c r="B74" s="19">
        <v>73</v>
      </c>
      <c r="C74" s="46">
        <v>3.6342592592592594E-3</v>
      </c>
      <c r="D74" s="16">
        <f t="shared" si="4"/>
        <v>5</v>
      </c>
      <c r="E74" s="16">
        <f t="shared" si="5"/>
        <v>14</v>
      </c>
      <c r="F74" s="19" t="s">
        <v>46</v>
      </c>
      <c r="G74" s="16" t="s">
        <v>13</v>
      </c>
      <c r="H74" s="16" t="str">
        <f>_xlfn.XLOOKUP(G74,'1-Players'!$A$2:$A$27,'1-Players'!$D$2:$D$27,"")</f>
        <v>Retin Obasohan</v>
      </c>
      <c r="I74" s="19" t="s">
        <v>108</v>
      </c>
      <c r="K74" s="16" t="str" cm="1">
        <f t="array" ref="K74">IFERROR(_xlfn.IFS(I74="Free Throw",1,I74="2-Point Shot",2,I74="Dunk",2,I74="3-Point Shot",3),"")</f>
        <v/>
      </c>
      <c r="L74" s="16" t="str" cm="1">
        <f t="array" ref="L74">IFERROR(_xlfn.IFS(J74="Made",1,J74="Missed",0),"")</f>
        <v/>
      </c>
      <c r="M74" s="16" t="str">
        <f t="shared" si="6"/>
        <v/>
      </c>
      <c r="R74" s="16" t="str">
        <f t="shared" si="7"/>
        <v/>
      </c>
      <c r="S74" s="16" t="str" cm="1">
        <f t="array" ref="S74">IFERROR(_xlfn.IFS(I74="Offensive Rebound",1),"")</f>
        <v/>
      </c>
      <c r="T74" s="16" t="str" cm="1">
        <f t="array" ref="T74">IFERROR(_xlfn.IFS(I74="Defensive Rebound",1),"")</f>
        <v/>
      </c>
      <c r="U74" s="16" t="str" cm="1">
        <f t="array" ref="U74">IFERROR(_xlfn.IFS(I74="Assist",1),"")</f>
        <v/>
      </c>
      <c r="V74" s="16" t="str" cm="1">
        <f t="array" ref="V74">IFERROR(_xlfn.IFS(I74="Turnover",1),"")</f>
        <v/>
      </c>
      <c r="W74" s="16" t="str" cm="1">
        <f t="array" ref="W74">IFERROR(_xlfn.IFS(I74="Steal",1),"")</f>
        <v/>
      </c>
      <c r="X74" s="16" t="str" cm="1">
        <f t="array" ref="X74">IFERROR(_xlfn.IFS(I74="Block",1),"")</f>
        <v/>
      </c>
      <c r="Y74" s="16" t="str" cm="1">
        <f t="array" ref="Y74">IFERROR(_xlfn.IFS(I74="Block Received",1),"")</f>
        <v/>
      </c>
      <c r="Z74" s="16" t="str" cm="1">
        <f t="array" ref="Z74">IFERROR(_xlfn.IFS(I74="Foul",1,I74="Foul Technical",1,I74="Offensive Foul",1),"")</f>
        <v/>
      </c>
      <c r="AA74" s="16" cm="1">
        <f t="array" ref="AA74">IFERROR(_xlfn.IFS(I74="Foul Received",1),"")</f>
        <v>1</v>
      </c>
      <c r="AB74" s="49" t="str" cm="1">
        <f t="array" ref="AB74">IFERROR(_xlfn.IFS(I74="Starting lineup",C74,I74="Substitution - In",C74),"")</f>
        <v/>
      </c>
      <c r="AC74" s="46" t="str" cm="1">
        <f t="array" ref="AC74">IFERROR(_xlfn.IFS(I74="Finishing lineup",C74,I74="Substitution - Out",C74),"")</f>
        <v/>
      </c>
      <c r="AD74" s="46" t="str" cm="1">
        <f t="array" ref="AD74">IF(AC74&lt;&gt;"",LOOKUP(2,1/((G$2:G73=G74)*(AB$2:AB73&lt;&gt;"")),AB$2:AB73)-AC74,"")</f>
        <v/>
      </c>
      <c r="AE74" s="50" t="str" cm="1">
        <f t="array" ref="AE74">IF(AC74&lt;&gt;"",LOOKUP(2,1/((G$2:G73=G74)*(AB$2:AB73&lt;&gt;"")),AB$2:AB73)-AC74,"")</f>
        <v/>
      </c>
    </row>
    <row r="75" spans="1:31" hidden="1" x14ac:dyDescent="0.35">
      <c r="A75" s="16">
        <v>1</v>
      </c>
      <c r="B75" s="19">
        <v>74</v>
      </c>
      <c r="C75" s="46">
        <v>3.6342592592592594E-3</v>
      </c>
      <c r="D75" s="16">
        <f t="shared" si="4"/>
        <v>5</v>
      </c>
      <c r="E75" s="16">
        <f t="shared" si="5"/>
        <v>14</v>
      </c>
      <c r="F75" s="19" t="s">
        <v>46</v>
      </c>
      <c r="G75" s="16" t="s">
        <v>13</v>
      </c>
      <c r="H75" s="16" t="str">
        <f>_xlfn.XLOOKUP(G75,'1-Players'!$A$2:$A$27,'1-Players'!$D$2:$D$27,"")</f>
        <v>Retin Obasohan</v>
      </c>
      <c r="I75" s="19" t="s">
        <v>110</v>
      </c>
      <c r="K75" s="16" t="str" cm="1">
        <f t="array" ref="K75">IFERROR(_xlfn.IFS(I75="Free Throw",1,I75="2-Point Shot",2,I75="Dunk",2,I75="3-Point Shot",3),"")</f>
        <v/>
      </c>
      <c r="L75" s="16" t="str" cm="1">
        <f t="array" ref="L75">IFERROR(_xlfn.IFS(J75="Made",1,J75="Missed",0),"")</f>
        <v/>
      </c>
      <c r="M75" s="16" t="str">
        <f t="shared" si="6"/>
        <v/>
      </c>
      <c r="R75" s="16" t="str">
        <f t="shared" si="7"/>
        <v/>
      </c>
      <c r="S75" s="16" t="str" cm="1">
        <f t="array" ref="S75">IFERROR(_xlfn.IFS(I75="Offensive Rebound",1),"")</f>
        <v/>
      </c>
      <c r="T75" s="16" t="str" cm="1">
        <f t="array" ref="T75">IFERROR(_xlfn.IFS(I75="Defensive Rebound",1),"")</f>
        <v/>
      </c>
      <c r="U75" s="16" t="str" cm="1">
        <f t="array" ref="U75">IFERROR(_xlfn.IFS(I75="Assist",1),"")</f>
        <v/>
      </c>
      <c r="V75" s="16" t="str" cm="1">
        <f t="array" ref="V75">IFERROR(_xlfn.IFS(I75="Turnover",1),"")</f>
        <v/>
      </c>
      <c r="W75" s="16" t="str" cm="1">
        <f t="array" ref="W75">IFERROR(_xlfn.IFS(I75="Steal",1),"")</f>
        <v/>
      </c>
      <c r="X75" s="16" t="str" cm="1">
        <f t="array" ref="X75">IFERROR(_xlfn.IFS(I75="Block",1),"")</f>
        <v/>
      </c>
      <c r="Y75" s="16" t="str" cm="1">
        <f t="array" ref="Y75">IFERROR(_xlfn.IFS(I75="Block Received",1),"")</f>
        <v/>
      </c>
      <c r="Z75" s="16" t="str" cm="1">
        <f t="array" ref="Z75">IFERROR(_xlfn.IFS(I75="Foul",1,I75="Foul Technical",1,I75="Offensive Foul",1),"")</f>
        <v/>
      </c>
      <c r="AA75" s="16" t="str" cm="1">
        <f t="array" ref="AA75">IFERROR(_xlfn.IFS(I75="Foul Received",1),"")</f>
        <v/>
      </c>
      <c r="AB75" s="49" t="str" cm="1">
        <f t="array" ref="AB75">IFERROR(_xlfn.IFS(I75="Starting lineup",C75,I75="Substitution - In",C75),"")</f>
        <v/>
      </c>
      <c r="AC75" s="46" cm="1">
        <f t="array" ref="AC75">IFERROR(_xlfn.IFS(I75="Finishing lineup",C75,I75="Substitution - Out",C75),"")</f>
        <v>3.6342592592592594E-3</v>
      </c>
      <c r="AD75" s="46" cm="1">
        <f t="array" ref="AD75">IF(AC75&lt;&gt;"",LOOKUP(2,1/((G$2:G74=G75)*(AB$2:AB74&lt;&gt;"")),AB$2:AB74)-AC75,"")</f>
        <v>3.3101851851851803E-3</v>
      </c>
      <c r="AE75" s="50" cm="1">
        <f t="array" ref="AE75">IF(AC75&lt;&gt;"",LOOKUP(2,1/((G$2:G74=G75)*(AB$2:AB74&lt;&gt;"")),AB$2:AB74)-AC75,"")</f>
        <v>3.3101851851851803E-3</v>
      </c>
    </row>
    <row r="76" spans="1:31" hidden="1" x14ac:dyDescent="0.35">
      <c r="A76" s="16">
        <v>1</v>
      </c>
      <c r="B76" s="19">
        <v>75</v>
      </c>
      <c r="C76" s="46">
        <v>3.6342592592592594E-3</v>
      </c>
      <c r="D76" s="16">
        <f t="shared" si="4"/>
        <v>5</v>
      </c>
      <c r="E76" s="16">
        <f t="shared" si="5"/>
        <v>14</v>
      </c>
      <c r="F76" s="19" t="s">
        <v>46</v>
      </c>
      <c r="G76" s="16" t="s">
        <v>69</v>
      </c>
      <c r="H76" s="16" t="str">
        <f>_xlfn.XLOOKUP(G76,'1-Players'!$A$2:$A$27,'1-Players'!$D$2:$D$27,"")</f>
        <v>Alfonso Plummer</v>
      </c>
      <c r="I76" s="19" t="s">
        <v>111</v>
      </c>
      <c r="K76" s="16" t="str" cm="1">
        <f t="array" ref="K76">IFERROR(_xlfn.IFS(I76="Free Throw",1,I76="2-Point Shot",2,I76="Dunk",2,I76="3-Point Shot",3),"")</f>
        <v/>
      </c>
      <c r="L76" s="16" t="str" cm="1">
        <f t="array" ref="L76">IFERROR(_xlfn.IFS(J76="Made",1,J76="Missed",0),"")</f>
        <v/>
      </c>
      <c r="M76" s="16" t="str">
        <f t="shared" si="6"/>
        <v/>
      </c>
      <c r="R76" s="16" t="str">
        <f t="shared" si="7"/>
        <v/>
      </c>
      <c r="S76" s="16" t="str" cm="1">
        <f t="array" ref="S76">IFERROR(_xlfn.IFS(I76="Offensive Rebound",1),"")</f>
        <v/>
      </c>
      <c r="T76" s="16" t="str" cm="1">
        <f t="array" ref="T76">IFERROR(_xlfn.IFS(I76="Defensive Rebound",1),"")</f>
        <v/>
      </c>
      <c r="U76" s="16" t="str" cm="1">
        <f t="array" ref="U76">IFERROR(_xlfn.IFS(I76="Assist",1),"")</f>
        <v/>
      </c>
      <c r="V76" s="16" t="str" cm="1">
        <f t="array" ref="V76">IFERROR(_xlfn.IFS(I76="Turnover",1),"")</f>
        <v/>
      </c>
      <c r="W76" s="16" t="str" cm="1">
        <f t="array" ref="W76">IFERROR(_xlfn.IFS(I76="Steal",1),"")</f>
        <v/>
      </c>
      <c r="X76" s="16" t="str" cm="1">
        <f t="array" ref="X76">IFERROR(_xlfn.IFS(I76="Block",1),"")</f>
        <v/>
      </c>
      <c r="Y76" s="16" t="str" cm="1">
        <f t="array" ref="Y76">IFERROR(_xlfn.IFS(I76="Block Received",1),"")</f>
        <v/>
      </c>
      <c r="Z76" s="16" t="str" cm="1">
        <f t="array" ref="Z76">IFERROR(_xlfn.IFS(I76="Foul",1,I76="Foul Technical",1,I76="Offensive Foul",1),"")</f>
        <v/>
      </c>
      <c r="AA76" s="16" t="str" cm="1">
        <f t="array" ref="AA76">IFERROR(_xlfn.IFS(I76="Foul Received",1),"")</f>
        <v/>
      </c>
      <c r="AB76" s="49" cm="1">
        <f t="array" ref="AB76">IFERROR(_xlfn.IFS(I76="Starting lineup",C76,I76="Substitution - In",C76),"")</f>
        <v>3.6342592592592594E-3</v>
      </c>
      <c r="AC76" s="46" t="str" cm="1">
        <f t="array" ref="AC76">IFERROR(_xlfn.IFS(I76="Finishing lineup",C76,I76="Substitution - Out",C76),"")</f>
        <v/>
      </c>
      <c r="AD76" s="46" t="str" cm="1">
        <f t="array" ref="AD76">IF(AC76&lt;&gt;"",LOOKUP(2,1/((G$2:G75=G76)*(AB$2:AB75&lt;&gt;"")),AB$2:AB75)-AC76,"")</f>
        <v/>
      </c>
      <c r="AE76" s="50" t="str" cm="1">
        <f t="array" ref="AE76">IF(AC76&lt;&gt;"",LOOKUP(2,1/((G$2:G75=G76)*(AB$2:AB75&lt;&gt;"")),AB$2:AB75)-AC76,"")</f>
        <v/>
      </c>
    </row>
    <row r="77" spans="1:31" hidden="1" x14ac:dyDescent="0.35">
      <c r="A77" s="16">
        <v>1</v>
      </c>
      <c r="B77" s="19">
        <v>76</v>
      </c>
      <c r="C77" s="46">
        <v>3.6342592592592594E-3</v>
      </c>
      <c r="D77" s="16">
        <f t="shared" si="4"/>
        <v>5</v>
      </c>
      <c r="E77" s="16">
        <f t="shared" ref="E77" si="8">SECOND(C77)</f>
        <v>14</v>
      </c>
      <c r="F77" s="19" t="s">
        <v>16</v>
      </c>
      <c r="G77" s="16" t="s">
        <v>15</v>
      </c>
      <c r="H77" s="16" t="str">
        <f>_xlfn.XLOOKUP(G77,'1-Players'!$A$2:$A$27,'1-Players'!$D$2:$D$27,"")</f>
        <v>James Batemon</v>
      </c>
      <c r="I77" s="19" t="s">
        <v>110</v>
      </c>
      <c r="K77" s="16" t="str" cm="1">
        <f t="array" ref="K77">IFERROR(_xlfn.IFS(I77="Free Throw",1,I77="2-Point Shot",2,I77="Dunk",2,I77="3-Point Shot",3),"")</f>
        <v/>
      </c>
      <c r="L77" s="16" t="str" cm="1">
        <f t="array" ref="L77">IFERROR(_xlfn.IFS(J77="Made",1,J77="Missed",0),"")</f>
        <v/>
      </c>
      <c r="M77" s="16" t="str">
        <f t="shared" si="6"/>
        <v/>
      </c>
      <c r="R77" s="16" t="str">
        <f t="shared" si="7"/>
        <v/>
      </c>
      <c r="S77" s="16" t="str" cm="1">
        <f t="array" ref="S77">IFERROR(_xlfn.IFS(I77="Offensive Rebound",1),"")</f>
        <v/>
      </c>
      <c r="T77" s="16" t="str" cm="1">
        <f t="array" ref="T77">IFERROR(_xlfn.IFS(I77="Defensive Rebound",1),"")</f>
        <v/>
      </c>
      <c r="U77" s="16" t="str" cm="1">
        <f t="array" ref="U77">IFERROR(_xlfn.IFS(I77="Assist",1),"")</f>
        <v/>
      </c>
      <c r="V77" s="16" t="str" cm="1">
        <f t="array" ref="V77">IFERROR(_xlfn.IFS(I77="Turnover",1),"")</f>
        <v/>
      </c>
      <c r="W77" s="16" t="str" cm="1">
        <f t="array" ref="W77">IFERROR(_xlfn.IFS(I77="Steal",1),"")</f>
        <v/>
      </c>
      <c r="X77" s="16" t="str" cm="1">
        <f t="array" ref="X77">IFERROR(_xlfn.IFS(I77="Block",1),"")</f>
        <v/>
      </c>
      <c r="Y77" s="16" t="str" cm="1">
        <f t="array" ref="Y77">IFERROR(_xlfn.IFS(I77="Block Received",1),"")</f>
        <v/>
      </c>
      <c r="Z77" s="16" t="str" cm="1">
        <f t="array" ref="Z77">IFERROR(_xlfn.IFS(I77="Foul",1,I77="Foul Technical",1,I77="Offensive Foul",1),"")</f>
        <v/>
      </c>
      <c r="AA77" s="16" t="str" cm="1">
        <f t="array" ref="AA77">IFERROR(_xlfn.IFS(I77="Foul Received",1),"")</f>
        <v/>
      </c>
      <c r="AB77" s="49" t="str" cm="1">
        <f t="array" ref="AB77">IFERROR(_xlfn.IFS(I77="Starting lineup",C77,I77="Substitution - In",C77),"")</f>
        <v/>
      </c>
      <c r="AC77" s="46" cm="1">
        <f t="array" ref="AC77">IFERROR(_xlfn.IFS(I77="Finishing lineup",C77,I77="Substitution - Out",C77),"")</f>
        <v>3.6342592592592594E-3</v>
      </c>
      <c r="AD77" s="46" cm="1">
        <f t="array" ref="AD77">IF(AC77&lt;&gt;"",LOOKUP(2,1/((G$2:G76=G77)*(AB$2:AB76&lt;&gt;"")),AB$2:AB76)-AC77,"")</f>
        <v>3.3101851851851847E-3</v>
      </c>
      <c r="AE77" s="50" cm="1">
        <f t="array" ref="AE77">IF(AC77&lt;&gt;"",LOOKUP(2,1/((G$2:G76=G77)*(AB$2:AB76&lt;&gt;"")),AB$2:AB76)-AC77,"")</f>
        <v>3.3101851851851847E-3</v>
      </c>
    </row>
    <row r="78" spans="1:31" hidden="1" x14ac:dyDescent="0.35">
      <c r="A78" s="16">
        <v>1</v>
      </c>
      <c r="B78" s="19">
        <v>77</v>
      </c>
      <c r="C78" s="46">
        <v>3.6342592592592594E-3</v>
      </c>
      <c r="D78" s="16">
        <f t="shared" si="4"/>
        <v>5</v>
      </c>
      <c r="E78" s="16">
        <f t="shared" si="5"/>
        <v>14</v>
      </c>
      <c r="F78" s="19" t="s">
        <v>16</v>
      </c>
      <c r="G78" s="16" t="s">
        <v>18</v>
      </c>
      <c r="H78" s="16" t="str">
        <f>_xlfn.XLOOKUP(G78,'1-Players'!$A$2:$A$27,'1-Players'!$D$2:$D$27,"")</f>
        <v>Corey Walden</v>
      </c>
      <c r="I78" s="19" t="s">
        <v>111</v>
      </c>
      <c r="K78" s="16" t="str" cm="1">
        <f t="array" ref="K78">IFERROR(_xlfn.IFS(I78="Free Throw",1,I78="2-Point Shot",2,I78="Dunk",2,I78="3-Point Shot",3),"")</f>
        <v/>
      </c>
      <c r="L78" s="16" t="str" cm="1">
        <f t="array" ref="L78">IFERROR(_xlfn.IFS(J78="Made",1,J78="Missed",0),"")</f>
        <v/>
      </c>
      <c r="M78" s="16" t="str">
        <f t="shared" si="6"/>
        <v/>
      </c>
      <c r="R78" s="16" t="str">
        <f t="shared" si="7"/>
        <v/>
      </c>
      <c r="S78" s="16" t="str" cm="1">
        <f t="array" ref="S78">IFERROR(_xlfn.IFS(I78="Offensive Rebound",1),"")</f>
        <v/>
      </c>
      <c r="T78" s="16" t="str" cm="1">
        <f t="array" ref="T78">IFERROR(_xlfn.IFS(I78="Defensive Rebound",1),"")</f>
        <v/>
      </c>
      <c r="U78" s="16" t="str" cm="1">
        <f t="array" ref="U78">IFERROR(_xlfn.IFS(I78="Assist",1),"")</f>
        <v/>
      </c>
      <c r="V78" s="16" t="str" cm="1">
        <f t="array" ref="V78">IFERROR(_xlfn.IFS(I78="Turnover",1),"")</f>
        <v/>
      </c>
      <c r="W78" s="16" t="str" cm="1">
        <f t="array" ref="W78">IFERROR(_xlfn.IFS(I78="Steal",1),"")</f>
        <v/>
      </c>
      <c r="X78" s="16" t="str" cm="1">
        <f t="array" ref="X78">IFERROR(_xlfn.IFS(I78="Block",1),"")</f>
        <v/>
      </c>
      <c r="Y78" s="16" t="str" cm="1">
        <f t="array" ref="Y78">IFERROR(_xlfn.IFS(I78="Block Received",1),"")</f>
        <v/>
      </c>
      <c r="Z78" s="16" t="str" cm="1">
        <f t="array" ref="Z78">IFERROR(_xlfn.IFS(I78="Foul",1,I78="Foul Technical",1,I78="Offensive Foul",1),"")</f>
        <v/>
      </c>
      <c r="AA78" s="16" t="str" cm="1">
        <f t="array" ref="AA78">IFERROR(_xlfn.IFS(I78="Foul Received",1),"")</f>
        <v/>
      </c>
      <c r="AB78" s="49" cm="1">
        <f t="array" ref="AB78">IFERROR(_xlfn.IFS(I78="Starting lineup",C78,I78="Substitution - In",C78),"")</f>
        <v>3.6342592592592594E-3</v>
      </c>
      <c r="AC78" s="46" t="str" cm="1">
        <f t="array" ref="AC78">IFERROR(_xlfn.IFS(I78="Finishing lineup",C78,I78="Substitution - Out",C78),"")</f>
        <v/>
      </c>
      <c r="AD78" s="46" t="str" cm="1">
        <f t="array" ref="AD78">IF(AC78&lt;&gt;"",LOOKUP(2,1/((G$2:G77=G78)*(AB$2:AB77&lt;&gt;"")),AB$2:AB77)-AC78,"")</f>
        <v/>
      </c>
      <c r="AE78" s="50" t="str" cm="1">
        <f t="array" ref="AE78">IF(AC78&lt;&gt;"",LOOKUP(2,1/((G$2:G77=G78)*(AB$2:AB77&lt;&gt;"")),AB$2:AB77)-AC78,"")</f>
        <v/>
      </c>
    </row>
    <row r="79" spans="1:31" hidden="1" x14ac:dyDescent="0.35">
      <c r="A79" s="16">
        <v>1</v>
      </c>
      <c r="B79" s="19">
        <v>78</v>
      </c>
      <c r="C79" s="46">
        <v>3.4375E-3</v>
      </c>
      <c r="D79" s="16">
        <f t="shared" si="4"/>
        <v>4</v>
      </c>
      <c r="E79" s="16">
        <f t="shared" si="5"/>
        <v>57</v>
      </c>
      <c r="F79" s="19" t="s">
        <v>46</v>
      </c>
      <c r="G79" s="16" t="s">
        <v>68</v>
      </c>
      <c r="H79" s="16" t="str">
        <f>_xlfn.XLOOKUP(G79,'1-Players'!$A$2:$A$27,'1-Players'!$D$2:$D$27,"")</f>
        <v>Dani Pérez</v>
      </c>
      <c r="I79" s="19" t="s">
        <v>112</v>
      </c>
      <c r="J79" s="19" t="s">
        <v>113</v>
      </c>
      <c r="K79" s="16" t="str" cm="1">
        <f t="array" ref="K79">IFERROR(_xlfn.IFS(I79="Free Throw",1,I79="2-Point Shot",2,I79="Dunk",2,I79="3-Point Shot",3),"")</f>
        <v/>
      </c>
      <c r="L79" s="16" t="str" cm="1">
        <f t="array" ref="L79">IFERROR(_xlfn.IFS(J79="Made",1,J79="Missed",0),"")</f>
        <v/>
      </c>
      <c r="M79" s="16" t="str">
        <f t="shared" si="6"/>
        <v/>
      </c>
      <c r="R79" s="16" t="str">
        <f t="shared" si="7"/>
        <v/>
      </c>
      <c r="S79" s="16" t="str" cm="1">
        <f t="array" ref="S79">IFERROR(_xlfn.IFS(I79="Offensive Rebound",1),"")</f>
        <v/>
      </c>
      <c r="T79" s="16" t="str" cm="1">
        <f t="array" ref="T79">IFERROR(_xlfn.IFS(I79="Defensive Rebound",1),"")</f>
        <v/>
      </c>
      <c r="U79" s="16" t="str" cm="1">
        <f t="array" ref="U79">IFERROR(_xlfn.IFS(I79="Assist",1),"")</f>
        <v/>
      </c>
      <c r="V79" s="16" cm="1">
        <f t="array" ref="V79">IFERROR(_xlfn.IFS(I79="Turnover",1),"")</f>
        <v>1</v>
      </c>
      <c r="W79" s="16" t="str" cm="1">
        <f t="array" ref="W79">IFERROR(_xlfn.IFS(I79="Steal",1),"")</f>
        <v/>
      </c>
      <c r="X79" s="16" t="str" cm="1">
        <f t="array" ref="X79">IFERROR(_xlfn.IFS(I79="Block",1),"")</f>
        <v/>
      </c>
      <c r="Y79" s="16" t="str" cm="1">
        <f t="array" ref="Y79">IFERROR(_xlfn.IFS(I79="Block Received",1),"")</f>
        <v/>
      </c>
      <c r="Z79" s="16" t="str" cm="1">
        <f t="array" ref="Z79">IFERROR(_xlfn.IFS(I79="Foul",1,I79="Foul Technical",1,I79="Offensive Foul",1),"")</f>
        <v/>
      </c>
      <c r="AA79" s="16" t="str" cm="1">
        <f t="array" ref="AA79">IFERROR(_xlfn.IFS(I79="Foul Received",1),"")</f>
        <v/>
      </c>
      <c r="AB79" s="49" t="str" cm="1">
        <f t="array" ref="AB79">IFERROR(_xlfn.IFS(I79="Starting lineup",C79,I79="Substitution - In",C79),"")</f>
        <v/>
      </c>
      <c r="AC79" s="46" t="str" cm="1">
        <f t="array" ref="AC79">IFERROR(_xlfn.IFS(I79="Finishing lineup",C79,I79="Substitution - Out",C79),"")</f>
        <v/>
      </c>
      <c r="AD79" s="46" t="str" cm="1">
        <f t="array" ref="AD79">IF(AC79&lt;&gt;"",LOOKUP(2,1/((G$2:G78=G79)*(AB$2:AB78&lt;&gt;"")),AB$2:AB78)-AC79,"")</f>
        <v/>
      </c>
      <c r="AE79" s="50" t="str" cm="1">
        <f t="array" ref="AE79">IF(AC79&lt;&gt;"",LOOKUP(2,1/((G$2:G78=G79)*(AB$2:AB78&lt;&gt;"")),AB$2:AB78)-AC79,"")</f>
        <v/>
      </c>
    </row>
    <row r="80" spans="1:31" hidden="1" x14ac:dyDescent="0.35">
      <c r="A80" s="19">
        <v>1</v>
      </c>
      <c r="B80" s="19">
        <v>79</v>
      </c>
      <c r="C80" s="46">
        <v>3.4375E-3</v>
      </c>
      <c r="D80" s="16">
        <f t="shared" si="4"/>
        <v>4</v>
      </c>
      <c r="E80" s="16">
        <f t="shared" si="5"/>
        <v>57</v>
      </c>
      <c r="F80" s="19" t="s">
        <v>16</v>
      </c>
      <c r="G80" s="16" t="s">
        <v>45</v>
      </c>
      <c r="H80" s="16" t="str">
        <f>_xlfn.XLOOKUP(G80,'1-Players'!$A$2:$A$27,'1-Players'!$D$2:$D$27,"")</f>
        <v>Gyorgy Golomán</v>
      </c>
      <c r="I80" s="19" t="s">
        <v>115</v>
      </c>
      <c r="K80" s="16" t="str" cm="1">
        <f t="array" ref="K80">IFERROR(_xlfn.IFS(I80="Free Throw",1,I80="2-Point Shot",2,I80="Dunk",2,I80="3-Point Shot",3),"")</f>
        <v/>
      </c>
      <c r="L80" s="16" t="str" cm="1">
        <f t="array" ref="L80">IFERROR(_xlfn.IFS(J80="Made",1,J80="Missed",0),"")</f>
        <v/>
      </c>
      <c r="M80" s="16" t="str">
        <f t="shared" si="6"/>
        <v/>
      </c>
      <c r="R80" s="16" t="str">
        <f t="shared" si="7"/>
        <v/>
      </c>
      <c r="S80" s="16" t="str" cm="1">
        <f t="array" ref="S80">IFERROR(_xlfn.IFS(I80="Offensive Rebound",1),"")</f>
        <v/>
      </c>
      <c r="T80" s="16" t="str" cm="1">
        <f t="array" ref="T80">IFERROR(_xlfn.IFS(I80="Defensive Rebound",1),"")</f>
        <v/>
      </c>
      <c r="U80" s="16" t="str" cm="1">
        <f t="array" ref="U80">IFERROR(_xlfn.IFS(I80="Assist",1),"")</f>
        <v/>
      </c>
      <c r="V80" s="16" t="str" cm="1">
        <f t="array" ref="V80">IFERROR(_xlfn.IFS(I80="Turnover",1),"")</f>
        <v/>
      </c>
      <c r="W80" s="16" cm="1">
        <f t="array" ref="W80">IFERROR(_xlfn.IFS(I80="Steal",1),"")</f>
        <v>1</v>
      </c>
      <c r="X80" s="16" t="str" cm="1">
        <f t="array" ref="X80">IFERROR(_xlfn.IFS(I80="Block",1),"")</f>
        <v/>
      </c>
      <c r="Y80" s="16" t="str" cm="1">
        <f t="array" ref="Y80">IFERROR(_xlfn.IFS(I80="Block Received",1),"")</f>
        <v/>
      </c>
      <c r="Z80" s="16" t="str" cm="1">
        <f t="array" ref="Z80">IFERROR(_xlfn.IFS(I80="Foul",1,I80="Foul Technical",1,I80="Offensive Foul",1),"")</f>
        <v/>
      </c>
      <c r="AA80" s="16" t="str" cm="1">
        <f t="array" ref="AA80">IFERROR(_xlfn.IFS(I80="Foul Received",1),"")</f>
        <v/>
      </c>
      <c r="AB80" s="49" t="str" cm="1">
        <f t="array" ref="AB80">IFERROR(_xlfn.IFS(I80="Starting lineup",C80,I80="Substitution - In",C80),"")</f>
        <v/>
      </c>
      <c r="AC80" s="46" t="str" cm="1">
        <f t="array" ref="AC80">IFERROR(_xlfn.IFS(I80="Finishing lineup",C80,I80="Substitution - Out",C80),"")</f>
        <v/>
      </c>
      <c r="AD80" s="46" t="str" cm="1">
        <f t="array" ref="AD80">IF(AC80&lt;&gt;"",LOOKUP(2,1/((G$2:G79=G80)*(AB$2:AB79&lt;&gt;"")),AB$2:AB79)-AC80,"")</f>
        <v/>
      </c>
      <c r="AE80" s="50" t="str" cm="1">
        <f t="array" ref="AE80">IF(AC80&lt;&gt;"",LOOKUP(2,1/((G$2:G79=G80)*(AB$2:AB79&lt;&gt;"")),AB$2:AB79)-AC80,"")</f>
        <v/>
      </c>
    </row>
    <row r="81" spans="1:31" hidden="1" x14ac:dyDescent="0.35">
      <c r="A81" s="19">
        <v>1</v>
      </c>
      <c r="B81" s="19">
        <v>80</v>
      </c>
      <c r="C81" s="46">
        <v>3.1828703703703702E-3</v>
      </c>
      <c r="D81" s="16">
        <f t="shared" si="4"/>
        <v>4</v>
      </c>
      <c r="E81" s="16">
        <f t="shared" si="5"/>
        <v>35</v>
      </c>
      <c r="F81" s="19" t="s">
        <v>46</v>
      </c>
      <c r="G81" s="16" t="s">
        <v>69</v>
      </c>
      <c r="H81" s="16" t="str">
        <f>_xlfn.XLOOKUP(G81,'1-Players'!$A$2:$A$27,'1-Players'!$D$2:$D$27,"")</f>
        <v>Alfonso Plummer</v>
      </c>
      <c r="I81" s="19" t="s">
        <v>106</v>
      </c>
      <c r="J81" s="19" t="s">
        <v>116</v>
      </c>
      <c r="K81" s="16" t="str" cm="1">
        <f t="array" ref="K81">IFERROR(_xlfn.IFS(I81="Free Throw",1,I81="2-Point Shot",2,I81="Dunk",2,I81="3-Point Shot",3),"")</f>
        <v/>
      </c>
      <c r="L81" s="16" t="str" cm="1">
        <f t="array" ref="L81">IFERROR(_xlfn.IFS(J81="Made",1,J81="Missed",0),"")</f>
        <v/>
      </c>
      <c r="M81" s="16" t="str">
        <f t="shared" si="6"/>
        <v/>
      </c>
      <c r="R81" s="16" t="str">
        <f t="shared" si="7"/>
        <v/>
      </c>
      <c r="S81" s="16" t="str" cm="1">
        <f t="array" ref="S81">IFERROR(_xlfn.IFS(I81="Offensive Rebound",1),"")</f>
        <v/>
      </c>
      <c r="T81" s="16" t="str" cm="1">
        <f t="array" ref="T81">IFERROR(_xlfn.IFS(I81="Defensive Rebound",1),"")</f>
        <v/>
      </c>
      <c r="U81" s="16" t="str" cm="1">
        <f t="array" ref="U81">IFERROR(_xlfn.IFS(I81="Assist",1),"")</f>
        <v/>
      </c>
      <c r="V81" s="16" t="str" cm="1">
        <f t="array" ref="V81">IFERROR(_xlfn.IFS(I81="Turnover",1),"")</f>
        <v/>
      </c>
      <c r="W81" s="16" t="str" cm="1">
        <f t="array" ref="W81">IFERROR(_xlfn.IFS(I81="Steal",1),"")</f>
        <v/>
      </c>
      <c r="X81" s="16" t="str" cm="1">
        <f t="array" ref="X81">IFERROR(_xlfn.IFS(I81="Block",1),"")</f>
        <v/>
      </c>
      <c r="Y81" s="16" t="str" cm="1">
        <f t="array" ref="Y81">IFERROR(_xlfn.IFS(I81="Block Received",1),"")</f>
        <v/>
      </c>
      <c r="Z81" s="16" cm="1">
        <f t="array" ref="Z81">IFERROR(_xlfn.IFS(I81="Foul",1,I81="Foul Technical",1,I81="Offensive Foul",1),"")</f>
        <v>1</v>
      </c>
      <c r="AA81" s="16" t="str" cm="1">
        <f t="array" ref="AA81">IFERROR(_xlfn.IFS(I81="Foul Received",1),"")</f>
        <v/>
      </c>
      <c r="AB81" s="49" t="str" cm="1">
        <f t="array" ref="AB81">IFERROR(_xlfn.IFS(I81="Starting lineup",C81,I81="Substitution - In",C81),"")</f>
        <v/>
      </c>
      <c r="AC81" s="46" t="str" cm="1">
        <f t="array" ref="AC81">IFERROR(_xlfn.IFS(I81="Finishing lineup",C81,I81="Substitution - Out",C81),"")</f>
        <v/>
      </c>
      <c r="AD81" s="46" t="str" cm="1">
        <f t="array" ref="AD81">IF(AC81&lt;&gt;"",LOOKUP(2,1/((G$2:G80=G81)*(AB$2:AB80&lt;&gt;"")),AB$2:AB80)-AC81,"")</f>
        <v/>
      </c>
      <c r="AE81" s="50" t="str" cm="1">
        <f t="array" ref="AE81">IF(AC81&lt;&gt;"",LOOKUP(2,1/((G$2:G80=G81)*(AB$2:AB80&lt;&gt;"")),AB$2:AB80)-AC81,"")</f>
        <v/>
      </c>
    </row>
    <row r="82" spans="1:31" hidden="1" x14ac:dyDescent="0.35">
      <c r="A82" s="16">
        <v>1</v>
      </c>
      <c r="B82" s="19">
        <v>81</v>
      </c>
      <c r="C82" s="46">
        <v>3.1828703703703702E-3</v>
      </c>
      <c r="D82" s="16">
        <f t="shared" si="4"/>
        <v>4</v>
      </c>
      <c r="E82" s="16">
        <f t="shared" ref="E82" si="9">SECOND(C82)</f>
        <v>35</v>
      </c>
      <c r="F82" s="19" t="s">
        <v>16</v>
      </c>
      <c r="G82" s="16" t="s">
        <v>24</v>
      </c>
      <c r="H82" s="16" t="str">
        <f>_xlfn.XLOOKUP(G82,'1-Players'!$A$2:$A$27,'1-Players'!$D$2:$D$27,"")</f>
        <v>Kristers Zoriks</v>
      </c>
      <c r="I82" s="19" t="s">
        <v>108</v>
      </c>
      <c r="K82" s="16" t="str" cm="1">
        <f t="array" ref="K82">IFERROR(_xlfn.IFS(I82="Free Throw",1,I82="2-Point Shot",2,I82="Dunk",2,I82="3-Point Shot",3),"")</f>
        <v/>
      </c>
      <c r="L82" s="16" t="str" cm="1">
        <f t="array" ref="L82">IFERROR(_xlfn.IFS(J82="Made",1,J82="Missed",0),"")</f>
        <v/>
      </c>
      <c r="M82" s="16" t="str">
        <f t="shared" si="6"/>
        <v/>
      </c>
      <c r="R82" s="16" t="str">
        <f t="shared" si="7"/>
        <v/>
      </c>
      <c r="S82" s="16" t="str" cm="1">
        <f t="array" ref="S82">IFERROR(_xlfn.IFS(I82="Offensive Rebound",1),"")</f>
        <v/>
      </c>
      <c r="T82" s="16" t="str" cm="1">
        <f t="array" ref="T82">IFERROR(_xlfn.IFS(I82="Defensive Rebound",1),"")</f>
        <v/>
      </c>
      <c r="U82" s="16" t="str" cm="1">
        <f t="array" ref="U82">IFERROR(_xlfn.IFS(I82="Assist",1),"")</f>
        <v/>
      </c>
      <c r="V82" s="16" t="str" cm="1">
        <f t="array" ref="V82">IFERROR(_xlfn.IFS(I82="Turnover",1),"")</f>
        <v/>
      </c>
      <c r="W82" s="16" t="str" cm="1">
        <f t="array" ref="W82">IFERROR(_xlfn.IFS(I82="Steal",1),"")</f>
        <v/>
      </c>
      <c r="X82" s="16" t="str" cm="1">
        <f t="array" ref="X82">IFERROR(_xlfn.IFS(I82="Block",1),"")</f>
        <v/>
      </c>
      <c r="Y82" s="16" t="str" cm="1">
        <f t="array" ref="Y82">IFERROR(_xlfn.IFS(I82="Block Received",1),"")</f>
        <v/>
      </c>
      <c r="Z82" s="16" t="str" cm="1">
        <f t="array" ref="Z82">IFERROR(_xlfn.IFS(I82="Foul",1,I82="Foul Technical",1,I82="Offensive Foul",1),"")</f>
        <v/>
      </c>
      <c r="AA82" s="16" cm="1">
        <f t="array" ref="AA82">IFERROR(_xlfn.IFS(I82="Foul Received",1),"")</f>
        <v>1</v>
      </c>
      <c r="AB82" s="49" t="str" cm="1">
        <f t="array" ref="AB82">IFERROR(_xlfn.IFS(I82="Starting lineup",C82,I82="Substitution - In",C82),"")</f>
        <v/>
      </c>
      <c r="AC82" s="46" t="str" cm="1">
        <f t="array" ref="AC82">IFERROR(_xlfn.IFS(I82="Finishing lineup",C82,I82="Substitution - Out",C82),"")</f>
        <v/>
      </c>
      <c r="AD82" s="46" t="str" cm="1">
        <f t="array" ref="AD82">IF(AC82&lt;&gt;"",LOOKUP(2,1/((G$2:G81=G82)*(AB$2:AB81&lt;&gt;"")),AB$2:AB81)-AC82,"")</f>
        <v/>
      </c>
      <c r="AE82" s="50" t="str" cm="1">
        <f t="array" ref="AE82">IF(AC82&lt;&gt;"",LOOKUP(2,1/((G$2:G81=G82)*(AB$2:AB81&lt;&gt;"")),AB$2:AB81)-AC82,"")</f>
        <v/>
      </c>
    </row>
    <row r="83" spans="1:31" hidden="1" x14ac:dyDescent="0.35">
      <c r="A83" s="16">
        <v>1</v>
      </c>
      <c r="B83" s="19">
        <v>81</v>
      </c>
      <c r="C83" s="46">
        <v>3.1828703703703702E-3</v>
      </c>
      <c r="D83" s="16">
        <f t="shared" si="4"/>
        <v>4</v>
      </c>
      <c r="E83" s="16">
        <f t="shared" si="5"/>
        <v>35</v>
      </c>
      <c r="F83" s="19" t="s">
        <v>46</v>
      </c>
      <c r="G83" s="16" t="s">
        <v>7</v>
      </c>
      <c r="H83" s="16" t="str">
        <f>_xlfn.XLOOKUP(G83,'1-Players'!$A$2:$A$27,'1-Players'!$D$2:$D$27,"")</f>
        <v>Álex Reyes</v>
      </c>
      <c r="I83" s="19" t="s">
        <v>110</v>
      </c>
      <c r="K83" s="16" t="str" cm="1">
        <f t="array" ref="K83">IFERROR(_xlfn.IFS(I83="Free Throw",1,I83="2-Point Shot",2,I83="Dunk",2,I83="3-Point Shot",3),"")</f>
        <v/>
      </c>
      <c r="L83" s="16" t="str" cm="1">
        <f t="array" ref="L83">IFERROR(_xlfn.IFS(J83="Made",1,J83="Missed",0),"")</f>
        <v/>
      </c>
      <c r="M83" s="16" t="str">
        <f t="shared" si="6"/>
        <v/>
      </c>
      <c r="R83" s="16" t="str">
        <f t="shared" si="7"/>
        <v/>
      </c>
      <c r="S83" s="16" t="str" cm="1">
        <f t="array" ref="S83">IFERROR(_xlfn.IFS(I83="Offensive Rebound",1),"")</f>
        <v/>
      </c>
      <c r="T83" s="16" t="str" cm="1">
        <f t="array" ref="T83">IFERROR(_xlfn.IFS(I83="Defensive Rebound",1),"")</f>
        <v/>
      </c>
      <c r="U83" s="16" t="str" cm="1">
        <f t="array" ref="U83">IFERROR(_xlfn.IFS(I83="Assist",1),"")</f>
        <v/>
      </c>
      <c r="V83" s="16" t="str" cm="1">
        <f t="array" ref="V83">IFERROR(_xlfn.IFS(I83="Turnover",1),"")</f>
        <v/>
      </c>
      <c r="W83" s="16" t="str" cm="1">
        <f t="array" ref="W83">IFERROR(_xlfn.IFS(I83="Steal",1),"")</f>
        <v/>
      </c>
      <c r="X83" s="16" t="str" cm="1">
        <f t="array" ref="X83">IFERROR(_xlfn.IFS(I83="Block",1),"")</f>
        <v/>
      </c>
      <c r="Y83" s="16" t="str" cm="1">
        <f t="array" ref="Y83">IFERROR(_xlfn.IFS(I83="Block Received",1),"")</f>
        <v/>
      </c>
      <c r="Z83" s="16" t="str" cm="1">
        <f t="array" ref="Z83">IFERROR(_xlfn.IFS(I83="Foul",1,I83="Foul Technical",1,I83="Offensive Foul",1),"")</f>
        <v/>
      </c>
      <c r="AA83" s="16" t="str" cm="1">
        <f t="array" ref="AA83">IFERROR(_xlfn.IFS(I83="Foul Received",1),"")</f>
        <v/>
      </c>
      <c r="AB83" s="49" t="str" cm="1">
        <f t="array" ref="AB83">IFERROR(_xlfn.IFS(I83="Starting lineup",C83,I83="Substitution - In",C83),"")</f>
        <v/>
      </c>
      <c r="AC83" s="46" cm="1">
        <f t="array" ref="AC83">IFERROR(_xlfn.IFS(I83="Finishing lineup",C83,I83="Substitution - Out",C83),"")</f>
        <v>3.1828703703703702E-3</v>
      </c>
      <c r="AD83" s="46" cm="1">
        <f t="array" ref="AD83">IF(AC83&lt;&gt;"",LOOKUP(2,1/((G$2:G82=G83)*(AB$2:AB82&lt;&gt;"")),AB$2:AB82)-AC83,"")</f>
        <v>3.7615740740740695E-3</v>
      </c>
      <c r="AE83" s="50" cm="1">
        <f t="array" ref="AE83">IF(AC83&lt;&gt;"",LOOKUP(2,1/((G$2:G82=G83)*(AB$2:AB82&lt;&gt;"")),AB$2:AB82)-AC83,"")</f>
        <v>3.7615740740740695E-3</v>
      </c>
    </row>
    <row r="84" spans="1:31" hidden="1" x14ac:dyDescent="0.35">
      <c r="A84" s="16">
        <v>1</v>
      </c>
      <c r="B84" s="19">
        <v>82</v>
      </c>
      <c r="C84" s="46">
        <v>3.1828703703703702E-3</v>
      </c>
      <c r="D84" s="16">
        <f t="shared" si="4"/>
        <v>4</v>
      </c>
      <c r="E84" s="16">
        <f t="shared" si="5"/>
        <v>35</v>
      </c>
      <c r="F84" s="19" t="s">
        <v>46</v>
      </c>
      <c r="G84" s="16" t="s">
        <v>9</v>
      </c>
      <c r="H84" s="16" t="str">
        <f>_xlfn.XLOOKUP(G84,'1-Players'!$A$2:$A$27,'1-Players'!$D$2:$D$27,"")</f>
        <v>Agustín Ubal</v>
      </c>
      <c r="I84" s="19" t="s">
        <v>111</v>
      </c>
      <c r="K84" s="16" t="str" cm="1">
        <f t="array" ref="K84">IFERROR(_xlfn.IFS(I84="Free Throw",1,I84="2-Point Shot",2,I84="Dunk",2,I84="3-Point Shot",3),"")</f>
        <v/>
      </c>
      <c r="L84" s="16" t="str" cm="1">
        <f t="array" ref="L84">IFERROR(_xlfn.IFS(J84="Made",1,J84="Missed",0),"")</f>
        <v/>
      </c>
      <c r="M84" s="16" t="str">
        <f t="shared" si="6"/>
        <v/>
      </c>
      <c r="R84" s="16" t="str">
        <f t="shared" si="7"/>
        <v/>
      </c>
      <c r="S84" s="16" t="str" cm="1">
        <f t="array" ref="S84">IFERROR(_xlfn.IFS(I84="Offensive Rebound",1),"")</f>
        <v/>
      </c>
      <c r="T84" s="16" t="str" cm="1">
        <f t="array" ref="T84">IFERROR(_xlfn.IFS(I84="Defensive Rebound",1),"")</f>
        <v/>
      </c>
      <c r="U84" s="16" t="str" cm="1">
        <f t="array" ref="U84">IFERROR(_xlfn.IFS(I84="Assist",1),"")</f>
        <v/>
      </c>
      <c r="V84" s="16" t="str" cm="1">
        <f t="array" ref="V84">IFERROR(_xlfn.IFS(I84="Turnover",1),"")</f>
        <v/>
      </c>
      <c r="W84" s="16" t="str" cm="1">
        <f t="array" ref="W84">IFERROR(_xlfn.IFS(I84="Steal",1),"")</f>
        <v/>
      </c>
      <c r="X84" s="16" t="str" cm="1">
        <f t="array" ref="X84">IFERROR(_xlfn.IFS(I84="Block",1),"")</f>
        <v/>
      </c>
      <c r="Y84" s="16" t="str" cm="1">
        <f t="array" ref="Y84">IFERROR(_xlfn.IFS(I84="Block Received",1),"")</f>
        <v/>
      </c>
      <c r="Z84" s="16" t="str" cm="1">
        <f t="array" ref="Z84">IFERROR(_xlfn.IFS(I84="Foul",1,I84="Foul Technical",1,I84="Offensive Foul",1),"")</f>
        <v/>
      </c>
      <c r="AA84" s="16" t="str" cm="1">
        <f t="array" ref="AA84">IFERROR(_xlfn.IFS(I84="Foul Received",1),"")</f>
        <v/>
      </c>
      <c r="AB84" s="49" cm="1">
        <f t="array" ref="AB84">IFERROR(_xlfn.IFS(I84="Starting lineup",C84,I84="Substitution - In",C84),"")</f>
        <v>3.1828703703703702E-3</v>
      </c>
      <c r="AC84" s="46" t="str" cm="1">
        <f t="array" ref="AC84">IFERROR(_xlfn.IFS(I84="Finishing lineup",C84,I84="Substitution - Out",C84),"")</f>
        <v/>
      </c>
      <c r="AD84" s="46" t="str" cm="1">
        <f t="array" ref="AD84">IF(AC84&lt;&gt;"",LOOKUP(2,1/((G$2:G83=G84)*(AB$2:AB83&lt;&gt;"")),AB$2:AB83)-AC84,"")</f>
        <v/>
      </c>
      <c r="AE84" s="50" t="str" cm="1">
        <f t="array" ref="AE84">IF(AC84&lt;&gt;"",LOOKUP(2,1/((G$2:G83=G84)*(AB$2:AB83&lt;&gt;"")),AB$2:AB83)-AC84,"")</f>
        <v/>
      </c>
    </row>
    <row r="85" spans="1:31" hidden="1" x14ac:dyDescent="0.35">
      <c r="A85" s="16">
        <v>1</v>
      </c>
      <c r="B85" s="19">
        <v>84</v>
      </c>
      <c r="C85" s="46">
        <v>3.1828703703703702E-3</v>
      </c>
      <c r="D85" s="16">
        <f t="shared" si="4"/>
        <v>4</v>
      </c>
      <c r="E85" s="16">
        <f t="shared" si="5"/>
        <v>35</v>
      </c>
      <c r="F85" s="19" t="s">
        <v>16</v>
      </c>
      <c r="G85" s="16" t="s">
        <v>24</v>
      </c>
      <c r="H85" s="16" t="str">
        <f>_xlfn.XLOOKUP(G85,'1-Players'!$A$2:$A$27,'1-Players'!$D$2:$D$27,"")</f>
        <v>Kristers Zoriks</v>
      </c>
      <c r="I85" s="19" t="s">
        <v>85</v>
      </c>
      <c r="J85" s="19" t="s">
        <v>60</v>
      </c>
      <c r="K85" s="16" cm="1">
        <f t="array" ref="K85">IFERROR(_xlfn.IFS(I85="Free Throw",1,I85="2-Point Shot",2,I85="Dunk",2,I85="3-Point Shot",3),"")</f>
        <v>1</v>
      </c>
      <c r="L85" s="16" cm="1">
        <f t="array" ref="L85">IFERROR(_xlfn.IFS(J85="Made",1,J85="Missed",0),"")</f>
        <v>1</v>
      </c>
      <c r="M85" s="16">
        <f t="shared" si="6"/>
        <v>1</v>
      </c>
      <c r="R85" s="16" t="str">
        <f t="shared" si="7"/>
        <v>N</v>
      </c>
      <c r="S85" s="16" t="str" cm="1">
        <f t="array" ref="S85">IFERROR(_xlfn.IFS(I85="Offensive Rebound",1),"")</f>
        <v/>
      </c>
      <c r="T85" s="16" t="str" cm="1">
        <f t="array" ref="T85">IFERROR(_xlfn.IFS(I85="Defensive Rebound",1),"")</f>
        <v/>
      </c>
      <c r="U85" s="16" t="str" cm="1">
        <f t="array" ref="U85">IFERROR(_xlfn.IFS(I85="Assist",1),"")</f>
        <v/>
      </c>
      <c r="V85" s="16" t="str" cm="1">
        <f t="array" ref="V85">IFERROR(_xlfn.IFS(I85="Turnover",1),"")</f>
        <v/>
      </c>
      <c r="W85" s="16" t="str" cm="1">
        <f t="array" ref="W85">IFERROR(_xlfn.IFS(I85="Steal",1),"")</f>
        <v/>
      </c>
      <c r="X85" s="16" t="str" cm="1">
        <f t="array" ref="X85">IFERROR(_xlfn.IFS(I85="Block",1),"")</f>
        <v/>
      </c>
      <c r="Y85" s="16" t="str" cm="1">
        <f t="array" ref="Y85">IFERROR(_xlfn.IFS(I85="Block Received",1),"")</f>
        <v/>
      </c>
      <c r="Z85" s="16" t="str" cm="1">
        <f t="array" ref="Z85">IFERROR(_xlfn.IFS(I85="Foul",1,I85="Foul Technical",1,I85="Offensive Foul",1),"")</f>
        <v/>
      </c>
      <c r="AA85" s="16" t="str" cm="1">
        <f t="array" ref="AA85">IFERROR(_xlfn.IFS(I85="Foul Received",1),"")</f>
        <v/>
      </c>
      <c r="AB85" s="49" t="str" cm="1">
        <f t="array" ref="AB85">IFERROR(_xlfn.IFS(I85="Starting lineup",C85,I85="Substitution - In",C85),"")</f>
        <v/>
      </c>
      <c r="AC85" s="46" t="str" cm="1">
        <f t="array" ref="AC85">IFERROR(_xlfn.IFS(I85="Finishing lineup",C85,I85="Substitution - Out",C85),"")</f>
        <v/>
      </c>
      <c r="AD85" s="46" t="str" cm="1">
        <f t="array" ref="AD85">IF(AC85&lt;&gt;"",LOOKUP(2,1/((G$2:G84=G85)*(AB$2:AB84&lt;&gt;"")),AB$2:AB84)-AC85,"")</f>
        <v/>
      </c>
      <c r="AE85" s="50" t="str" cm="1">
        <f t="array" ref="AE85">IF(AC85&lt;&gt;"",LOOKUP(2,1/((G$2:G84=G85)*(AB$2:AB84&lt;&gt;"")),AB$2:AB84)-AC85,"")</f>
        <v/>
      </c>
    </row>
    <row r="86" spans="1:31" hidden="1" x14ac:dyDescent="0.35">
      <c r="A86" s="19">
        <v>1</v>
      </c>
      <c r="B86" s="19">
        <v>85</v>
      </c>
      <c r="C86" s="46">
        <v>3.1828703703703702E-3</v>
      </c>
      <c r="D86" s="16">
        <f t="shared" si="4"/>
        <v>4</v>
      </c>
      <c r="E86" s="16">
        <f t="shared" si="5"/>
        <v>35</v>
      </c>
      <c r="F86" s="19" t="s">
        <v>16</v>
      </c>
      <c r="G86" s="16" t="s">
        <v>24</v>
      </c>
      <c r="H86" s="16" t="str">
        <f>_xlfn.XLOOKUP(G86,'1-Players'!$A$2:$A$27,'1-Players'!$D$2:$D$27,"")</f>
        <v>Kristers Zoriks</v>
      </c>
      <c r="I86" s="19" t="s">
        <v>85</v>
      </c>
      <c r="J86" s="19" t="s">
        <v>60</v>
      </c>
      <c r="K86" s="16" cm="1">
        <f t="array" ref="K86">IFERROR(_xlfn.IFS(I86="Free Throw",1,I86="2-Point Shot",2,I86="Dunk",2,I86="3-Point Shot",3),"")</f>
        <v>1</v>
      </c>
      <c r="L86" s="16" cm="1">
        <f t="array" ref="L86">IFERROR(_xlfn.IFS(J86="Made",1,J86="Missed",0),"")</f>
        <v>1</v>
      </c>
      <c r="M86" s="16">
        <f t="shared" si="6"/>
        <v>1</v>
      </c>
      <c r="R86" s="16" t="str">
        <f t="shared" si="7"/>
        <v>N</v>
      </c>
      <c r="S86" s="16" t="str" cm="1">
        <f t="array" ref="S86">IFERROR(_xlfn.IFS(I86="Offensive Rebound",1),"")</f>
        <v/>
      </c>
      <c r="T86" s="16" t="str" cm="1">
        <f t="array" ref="T86">IFERROR(_xlfn.IFS(I86="Defensive Rebound",1),"")</f>
        <v/>
      </c>
      <c r="U86" s="16" t="str" cm="1">
        <f t="array" ref="U86">IFERROR(_xlfn.IFS(I86="Assist",1),"")</f>
        <v/>
      </c>
      <c r="V86" s="16" t="str" cm="1">
        <f t="array" ref="V86">IFERROR(_xlfn.IFS(I86="Turnover",1),"")</f>
        <v/>
      </c>
      <c r="W86" s="16" t="str" cm="1">
        <f t="array" ref="W86">IFERROR(_xlfn.IFS(I86="Steal",1),"")</f>
        <v/>
      </c>
      <c r="X86" s="16" t="str" cm="1">
        <f t="array" ref="X86">IFERROR(_xlfn.IFS(I86="Block",1),"")</f>
        <v/>
      </c>
      <c r="Y86" s="16" t="str" cm="1">
        <f t="array" ref="Y86">IFERROR(_xlfn.IFS(I86="Block Received",1),"")</f>
        <v/>
      </c>
      <c r="Z86" s="16" t="str" cm="1">
        <f t="array" ref="Z86">IFERROR(_xlfn.IFS(I86="Foul",1,I86="Foul Technical",1,I86="Offensive Foul",1),"")</f>
        <v/>
      </c>
      <c r="AA86" s="16" t="str" cm="1">
        <f t="array" ref="AA86">IFERROR(_xlfn.IFS(I86="Foul Received",1),"")</f>
        <v/>
      </c>
      <c r="AB86" s="49" t="str" cm="1">
        <f t="array" ref="AB86">IFERROR(_xlfn.IFS(I86="Starting lineup",C86,I86="Substitution - In",C86),"")</f>
        <v/>
      </c>
      <c r="AC86" s="46" t="str" cm="1">
        <f t="array" ref="AC86">IFERROR(_xlfn.IFS(I86="Finishing lineup",C86,I86="Substitution - Out",C86),"")</f>
        <v/>
      </c>
      <c r="AD86" s="46" t="str" cm="1">
        <f t="array" ref="AD86">IF(AC86&lt;&gt;"",LOOKUP(2,1/((G$2:G85=G86)*(AB$2:AB85&lt;&gt;"")),AB$2:AB85)-AC86,"")</f>
        <v/>
      </c>
      <c r="AE86" s="50" t="str" cm="1">
        <f t="array" ref="AE86">IF(AC86&lt;&gt;"",LOOKUP(2,1/((G$2:G85=G86)*(AB$2:AB85&lt;&gt;"")),AB$2:AB85)-AC86,"")</f>
        <v/>
      </c>
    </row>
    <row r="87" spans="1:31" hidden="1" x14ac:dyDescent="0.35">
      <c r="A87" s="16">
        <v>1</v>
      </c>
      <c r="B87" s="19">
        <v>86</v>
      </c>
      <c r="C87" s="46">
        <v>3.1828703703703702E-3</v>
      </c>
      <c r="D87" s="16">
        <f t="shared" si="4"/>
        <v>4</v>
      </c>
      <c r="E87" s="16">
        <f t="shared" si="5"/>
        <v>35</v>
      </c>
      <c r="F87" s="19" t="s">
        <v>16</v>
      </c>
      <c r="G87" s="16" t="s">
        <v>24</v>
      </c>
      <c r="H87" s="16" t="str">
        <f>_xlfn.XLOOKUP(G87,'1-Players'!$A$2:$A$27,'1-Players'!$D$2:$D$27,"")</f>
        <v>Kristers Zoriks</v>
      </c>
      <c r="I87" s="19" t="s">
        <v>85</v>
      </c>
      <c r="J87" s="19" t="s">
        <v>63</v>
      </c>
      <c r="K87" s="16" cm="1">
        <f t="array" ref="K87">IFERROR(_xlfn.IFS(I87="Free Throw",1,I87="2-Point Shot",2,I87="Dunk",2,I87="3-Point Shot",3),"")</f>
        <v>1</v>
      </c>
      <c r="L87" s="16" cm="1">
        <f t="array" ref="L87">IFERROR(_xlfn.IFS(J87="Made",1,J87="Missed",0),"")</f>
        <v>0</v>
      </c>
      <c r="M87" s="16">
        <f t="shared" si="6"/>
        <v>0</v>
      </c>
      <c r="R87" s="16" t="str">
        <f t="shared" si="7"/>
        <v/>
      </c>
      <c r="S87" s="16" t="str" cm="1">
        <f t="array" ref="S87">IFERROR(_xlfn.IFS(I87="Offensive Rebound",1),"")</f>
        <v/>
      </c>
      <c r="T87" s="16" t="str" cm="1">
        <f t="array" ref="T87">IFERROR(_xlfn.IFS(I87="Defensive Rebound",1),"")</f>
        <v/>
      </c>
      <c r="U87" s="16" t="str" cm="1">
        <f t="array" ref="U87">IFERROR(_xlfn.IFS(I87="Assist",1),"")</f>
        <v/>
      </c>
      <c r="V87" s="16" t="str" cm="1">
        <f t="array" ref="V87">IFERROR(_xlfn.IFS(I87="Turnover",1),"")</f>
        <v/>
      </c>
      <c r="W87" s="16" t="str" cm="1">
        <f t="array" ref="W87">IFERROR(_xlfn.IFS(I87="Steal",1),"")</f>
        <v/>
      </c>
      <c r="X87" s="16" t="str" cm="1">
        <f t="array" ref="X87">IFERROR(_xlfn.IFS(I87="Block",1),"")</f>
        <v/>
      </c>
      <c r="Y87" s="16" t="str" cm="1">
        <f t="array" ref="Y87">IFERROR(_xlfn.IFS(I87="Block Received",1),"")</f>
        <v/>
      </c>
      <c r="Z87" s="16" t="str" cm="1">
        <f t="array" ref="Z87">IFERROR(_xlfn.IFS(I87="Foul",1,I87="Foul Technical",1,I87="Offensive Foul",1),"")</f>
        <v/>
      </c>
      <c r="AA87" s="16" t="str" cm="1">
        <f t="array" ref="AA87">IFERROR(_xlfn.IFS(I87="Foul Received",1),"")</f>
        <v/>
      </c>
      <c r="AB87" s="49" t="str" cm="1">
        <f t="array" ref="AB87">IFERROR(_xlfn.IFS(I87="Starting lineup",C87,I87="Substitution - In",C87),"")</f>
        <v/>
      </c>
      <c r="AC87" s="46" t="str" cm="1">
        <f t="array" ref="AC87">IFERROR(_xlfn.IFS(I87="Finishing lineup",C87,I87="Substitution - Out",C87),"")</f>
        <v/>
      </c>
      <c r="AD87" s="46" t="str" cm="1">
        <f t="array" ref="AD87">IF(AC87&lt;&gt;"",LOOKUP(2,1/((G$2:G86=G87)*(AB$2:AB86&lt;&gt;"")),AB$2:AB86)-AC87,"")</f>
        <v/>
      </c>
      <c r="AE87" s="50" t="str" cm="1">
        <f t="array" ref="AE87">IF(AC87&lt;&gt;"",LOOKUP(2,1/((G$2:G86=G87)*(AB$2:AB86&lt;&gt;"")),AB$2:AB86)-AC87,"")</f>
        <v/>
      </c>
    </row>
    <row r="88" spans="1:31" hidden="1" x14ac:dyDescent="0.35">
      <c r="A88" s="16">
        <v>1</v>
      </c>
      <c r="B88" s="19">
        <v>87</v>
      </c>
      <c r="C88" s="46">
        <v>3.1828703703703702E-3</v>
      </c>
      <c r="D88" s="16">
        <f t="shared" si="4"/>
        <v>4</v>
      </c>
      <c r="E88" s="16">
        <f t="shared" si="5"/>
        <v>35</v>
      </c>
      <c r="F88" s="19" t="s">
        <v>46</v>
      </c>
      <c r="G88" s="16" t="s">
        <v>27</v>
      </c>
      <c r="H88" s="16" t="str">
        <f>_xlfn.XLOOKUP(G88,'1-Players'!$A$2:$A$27,'1-Players'!$D$2:$D$27,"")</f>
        <v>Kaodirichi Akobundu</v>
      </c>
      <c r="I88" s="19" t="s">
        <v>84</v>
      </c>
      <c r="J88" s="19"/>
      <c r="K88" s="16" t="str" cm="1">
        <f t="array" ref="K88">IFERROR(_xlfn.IFS(I88="Free Throw",1,I88="2-Point Shot",2,I88="Dunk",2,I88="3-Point Shot",3),"")</f>
        <v/>
      </c>
      <c r="L88" s="16" t="str" cm="1">
        <f t="array" ref="L88">IFERROR(_xlfn.IFS(J88="Made",1,J88="Missed",0),"")</f>
        <v/>
      </c>
      <c r="M88" s="16" t="str">
        <f t="shared" si="6"/>
        <v/>
      </c>
      <c r="R88" s="16" t="str">
        <f t="shared" si="7"/>
        <v/>
      </c>
      <c r="S88" s="16" t="str" cm="1">
        <f t="array" ref="S88">IFERROR(_xlfn.IFS(I88="Offensive Rebound",1),"")</f>
        <v/>
      </c>
      <c r="T88" s="16" cm="1">
        <f t="array" ref="T88">IFERROR(_xlfn.IFS(I88="Defensive Rebound",1),"")</f>
        <v>1</v>
      </c>
      <c r="U88" s="16" t="str" cm="1">
        <f t="array" ref="U88">IFERROR(_xlfn.IFS(I88="Assist",1),"")</f>
        <v/>
      </c>
      <c r="V88" s="16" t="str" cm="1">
        <f t="array" ref="V88">IFERROR(_xlfn.IFS(I88="Turnover",1),"")</f>
        <v/>
      </c>
      <c r="W88" s="16" t="str" cm="1">
        <f t="array" ref="W88">IFERROR(_xlfn.IFS(I88="Steal",1),"")</f>
        <v/>
      </c>
      <c r="X88" s="16" t="str" cm="1">
        <f t="array" ref="X88">IFERROR(_xlfn.IFS(I88="Block",1),"")</f>
        <v/>
      </c>
      <c r="Y88" s="16" t="str" cm="1">
        <f t="array" ref="Y88">IFERROR(_xlfn.IFS(I88="Block Received",1),"")</f>
        <v/>
      </c>
      <c r="Z88" s="16" t="str" cm="1">
        <f t="array" ref="Z88">IFERROR(_xlfn.IFS(I88="Foul",1,I88="Foul Technical",1,I88="Offensive Foul",1),"")</f>
        <v/>
      </c>
      <c r="AA88" s="16" t="str" cm="1">
        <f t="array" ref="AA88">IFERROR(_xlfn.IFS(I88="Foul Received",1),"")</f>
        <v/>
      </c>
      <c r="AB88" s="49" t="str" cm="1">
        <f t="array" ref="AB88">IFERROR(_xlfn.IFS(I88="Starting lineup",C88,I88="Substitution - In",C88),"")</f>
        <v/>
      </c>
      <c r="AC88" s="46" t="str" cm="1">
        <f t="array" ref="AC88">IFERROR(_xlfn.IFS(I88="Finishing lineup",C88,I88="Substitution - Out",C88),"")</f>
        <v/>
      </c>
      <c r="AD88" s="46" t="str" cm="1">
        <f t="array" ref="AD88">IF(AC88&lt;&gt;"",LOOKUP(2,1/((G$2:G87=G88)*(AB$2:AB87&lt;&gt;"")),AB$2:AB87)-AC88,"")</f>
        <v/>
      </c>
      <c r="AE88" s="50" t="str" cm="1">
        <f t="array" ref="AE88">IF(AC88&lt;&gt;"",LOOKUP(2,1/((G$2:G87=G88)*(AB$2:AB87&lt;&gt;"")),AB$2:AB87)-AC88,"")</f>
        <v/>
      </c>
    </row>
    <row r="89" spans="1:31" hidden="1" x14ac:dyDescent="0.35">
      <c r="A89" s="19">
        <v>1</v>
      </c>
      <c r="B89" s="19">
        <v>88</v>
      </c>
      <c r="C89" s="46">
        <v>2.9513888888888888E-3</v>
      </c>
      <c r="D89" s="16">
        <f t="shared" si="4"/>
        <v>4</v>
      </c>
      <c r="E89" s="16">
        <f t="shared" si="5"/>
        <v>15</v>
      </c>
      <c r="F89" s="19" t="s">
        <v>99</v>
      </c>
      <c r="G89" s="16" t="s">
        <v>68</v>
      </c>
      <c r="H89" s="16" t="str">
        <f>_xlfn.XLOOKUP(G89,'1-Players'!$A$2:$A$27,'1-Players'!$D$2:$D$27,"")</f>
        <v>Dani Pérez</v>
      </c>
      <c r="I89" s="19" t="s">
        <v>83</v>
      </c>
      <c r="J89" s="19" t="s">
        <v>63</v>
      </c>
      <c r="K89" s="16" cm="1">
        <f t="array" ref="K89">IFERROR(_xlfn.IFS(I89="Free Throw",1,I89="2-Point Shot",2,I89="Dunk",2,I89="3-Point Shot",3),"")</f>
        <v>3</v>
      </c>
      <c r="L89" s="16" cm="1">
        <f t="array" ref="L89">IFERROR(_xlfn.IFS(J89="Made",1,J89="Missed",0),"")</f>
        <v>0</v>
      </c>
      <c r="M89" s="16">
        <f t="shared" si="6"/>
        <v>0</v>
      </c>
      <c r="N89" s="16" t="s">
        <v>174</v>
      </c>
      <c r="O89" s="16" t="s">
        <v>184</v>
      </c>
      <c r="P89" s="16">
        <v>2</v>
      </c>
      <c r="Q89" s="16" t="s">
        <v>102</v>
      </c>
      <c r="R89" s="16" t="str">
        <f t="shared" si="7"/>
        <v/>
      </c>
      <c r="S89" s="16" t="str" cm="1">
        <f t="array" ref="S89">IFERROR(_xlfn.IFS(I89="Offensive Rebound",1),"")</f>
        <v/>
      </c>
      <c r="T89" s="16" t="str" cm="1">
        <f t="array" ref="T89">IFERROR(_xlfn.IFS(I89="Defensive Rebound",1),"")</f>
        <v/>
      </c>
      <c r="U89" s="16" t="str" cm="1">
        <f t="array" ref="U89">IFERROR(_xlfn.IFS(I89="Assist",1),"")</f>
        <v/>
      </c>
      <c r="V89" s="16" t="str" cm="1">
        <f t="array" ref="V89">IFERROR(_xlfn.IFS(I89="Turnover",1),"")</f>
        <v/>
      </c>
      <c r="W89" s="16" t="str" cm="1">
        <f t="array" ref="W89">IFERROR(_xlfn.IFS(I89="Steal",1),"")</f>
        <v/>
      </c>
      <c r="X89" s="16" t="str" cm="1">
        <f t="array" ref="X89">IFERROR(_xlfn.IFS(I89="Block",1),"")</f>
        <v/>
      </c>
      <c r="Y89" s="16" t="str" cm="1">
        <f t="array" ref="Y89">IFERROR(_xlfn.IFS(I89="Block Received",1),"")</f>
        <v/>
      </c>
      <c r="Z89" s="16" t="str" cm="1">
        <f t="array" ref="Z89">IFERROR(_xlfn.IFS(I89="Foul",1,I89="Foul Technical",1,I89="Offensive Foul",1),"")</f>
        <v/>
      </c>
      <c r="AA89" s="16" t="str" cm="1">
        <f t="array" ref="AA89">IFERROR(_xlfn.IFS(I89="Foul Received",1),"")</f>
        <v/>
      </c>
      <c r="AB89" s="49" t="str" cm="1">
        <f t="array" ref="AB89">IFERROR(_xlfn.IFS(I89="Starting lineup",C89,I89="Substitution - In",C89),"")</f>
        <v/>
      </c>
      <c r="AC89" s="46" t="str" cm="1">
        <f t="array" ref="AC89">IFERROR(_xlfn.IFS(I89="Finishing lineup",C89,I89="Substitution - Out",C89),"")</f>
        <v/>
      </c>
      <c r="AD89" s="46" t="str" cm="1">
        <f t="array" ref="AD89">IF(AC89&lt;&gt;"",LOOKUP(2,1/((G$2:G88=G89)*(AB$2:AB88&lt;&gt;"")),AB$2:AB88)-AC89,"")</f>
        <v/>
      </c>
      <c r="AE89" s="50" t="str" cm="1">
        <f t="array" ref="AE89">IF(AC89&lt;&gt;"",LOOKUP(2,1/((G$2:G88=G89)*(AB$2:AB88&lt;&gt;"")),AB$2:AB88)-AC89,"")</f>
        <v/>
      </c>
    </row>
    <row r="90" spans="1:31" hidden="1" x14ac:dyDescent="0.35">
      <c r="A90" s="16">
        <v>1</v>
      </c>
      <c r="B90" s="19">
        <v>89</v>
      </c>
      <c r="C90" s="46">
        <v>2.9513888888888888E-3</v>
      </c>
      <c r="D90" s="16">
        <f t="shared" si="4"/>
        <v>4</v>
      </c>
      <c r="E90" s="16">
        <f t="shared" si="5"/>
        <v>15</v>
      </c>
      <c r="F90" s="19" t="s">
        <v>16</v>
      </c>
      <c r="G90" s="16" t="s">
        <v>18</v>
      </c>
      <c r="H90" s="16" t="str">
        <f>_xlfn.XLOOKUP(G90,'1-Players'!$A$2:$A$27,'1-Players'!$D$2:$D$27,"")</f>
        <v>Corey Walden</v>
      </c>
      <c r="I90" s="19" t="s">
        <v>84</v>
      </c>
      <c r="K90" s="16" t="str" cm="1">
        <f t="array" ref="K90">IFERROR(_xlfn.IFS(I90="Free Throw",1,I90="2-Point Shot",2,I90="Dunk",2,I90="3-Point Shot",3),"")</f>
        <v/>
      </c>
      <c r="L90" s="16" t="str" cm="1">
        <f t="array" ref="L90">IFERROR(_xlfn.IFS(J90="Made",1,J90="Missed",0),"")</f>
        <v/>
      </c>
      <c r="M90" s="16" t="str">
        <f t="shared" si="6"/>
        <v/>
      </c>
      <c r="R90" s="16" t="str">
        <f t="shared" si="7"/>
        <v/>
      </c>
      <c r="S90" s="16" t="str" cm="1">
        <f t="array" ref="S90">IFERROR(_xlfn.IFS(I90="Offensive Rebound",1),"")</f>
        <v/>
      </c>
      <c r="T90" s="16" cm="1">
        <f t="array" ref="T90">IFERROR(_xlfn.IFS(I90="Defensive Rebound",1),"")</f>
        <v>1</v>
      </c>
      <c r="U90" s="16" t="str" cm="1">
        <f t="array" ref="U90">IFERROR(_xlfn.IFS(I90="Assist",1),"")</f>
        <v/>
      </c>
      <c r="V90" s="16" t="str" cm="1">
        <f t="array" ref="V90">IFERROR(_xlfn.IFS(I90="Turnover",1),"")</f>
        <v/>
      </c>
      <c r="W90" s="16" t="str" cm="1">
        <f t="array" ref="W90">IFERROR(_xlfn.IFS(I90="Steal",1),"")</f>
        <v/>
      </c>
      <c r="X90" s="16" t="str" cm="1">
        <f t="array" ref="X90">IFERROR(_xlfn.IFS(I90="Block",1),"")</f>
        <v/>
      </c>
      <c r="Y90" s="16" t="str" cm="1">
        <f t="array" ref="Y90">IFERROR(_xlfn.IFS(I90="Block Received",1),"")</f>
        <v/>
      </c>
      <c r="Z90" s="16" t="str" cm="1">
        <f t="array" ref="Z90">IFERROR(_xlfn.IFS(I90="Foul",1,I90="Foul Technical",1,I90="Offensive Foul",1),"")</f>
        <v/>
      </c>
      <c r="AA90" s="16" t="str" cm="1">
        <f t="array" ref="AA90">IFERROR(_xlfn.IFS(I90="Foul Received",1),"")</f>
        <v/>
      </c>
      <c r="AB90" s="49" t="str" cm="1">
        <f t="array" ref="AB90">IFERROR(_xlfn.IFS(I90="Starting lineup",C90,I90="Substitution - In",C90),"")</f>
        <v/>
      </c>
      <c r="AC90" s="46" t="str" cm="1">
        <f t="array" ref="AC90">IFERROR(_xlfn.IFS(I90="Finishing lineup",C90,I90="Substitution - Out",C90),"")</f>
        <v/>
      </c>
      <c r="AD90" s="46" t="str" cm="1">
        <f t="array" ref="AD90">IF(AC90&lt;&gt;"",LOOKUP(2,1/((G$2:G89=G90)*(AB$2:AB89&lt;&gt;"")),AB$2:AB89)-AC90,"")</f>
        <v/>
      </c>
      <c r="AE90" s="50" t="str" cm="1">
        <f t="array" ref="AE90">IF(AC90&lt;&gt;"",LOOKUP(2,1/((G$2:G89=G90)*(AB$2:AB89&lt;&gt;"")),AB$2:AB89)-AC90,"")</f>
        <v/>
      </c>
    </row>
    <row r="91" spans="1:31" hidden="1" x14ac:dyDescent="0.35">
      <c r="A91" s="16">
        <v>1</v>
      </c>
      <c r="B91" s="19">
        <v>90</v>
      </c>
      <c r="C91" s="46">
        <v>2.8009259259259259E-3</v>
      </c>
      <c r="D91" s="16">
        <f t="shared" si="4"/>
        <v>4</v>
      </c>
      <c r="E91" s="16">
        <f t="shared" si="5"/>
        <v>2</v>
      </c>
      <c r="F91" s="19" t="s">
        <v>16</v>
      </c>
      <c r="G91" s="16" t="s">
        <v>45</v>
      </c>
      <c r="H91" s="16" t="str">
        <f>_xlfn.XLOOKUP(G91,'1-Players'!$A$2:$A$27,'1-Players'!$D$2:$D$27,"")</f>
        <v>Gyorgy Golomán</v>
      </c>
      <c r="I91" s="19" t="s">
        <v>82</v>
      </c>
      <c r="J91" s="19" t="s">
        <v>60</v>
      </c>
      <c r="K91" s="16" cm="1">
        <f t="array" ref="K91">IFERROR(_xlfn.IFS(I91="Free Throw",1,I91="2-Point Shot",2,I91="Dunk",2,I91="3-Point Shot",3),"")</f>
        <v>2</v>
      </c>
      <c r="L91" s="16" cm="1">
        <f t="array" ref="L91">IFERROR(_xlfn.IFS(J91="Made",1,J91="Missed",0),"")</f>
        <v>1</v>
      </c>
      <c r="M91" s="16">
        <f t="shared" si="6"/>
        <v>2</v>
      </c>
      <c r="N91" s="16" t="s">
        <v>176</v>
      </c>
      <c r="O91" s="16" t="s">
        <v>175</v>
      </c>
      <c r="P91" s="16">
        <v>16</v>
      </c>
      <c r="Q91" s="16" t="s">
        <v>102</v>
      </c>
      <c r="R91" s="16" t="str">
        <f t="shared" si="7"/>
        <v>S</v>
      </c>
      <c r="S91" s="16" t="str" cm="1">
        <f t="array" ref="S91">IFERROR(_xlfn.IFS(I91="Offensive Rebound",1),"")</f>
        <v/>
      </c>
      <c r="T91" s="16" t="str" cm="1">
        <f t="array" ref="T91">IFERROR(_xlfn.IFS(I91="Defensive Rebound",1),"")</f>
        <v/>
      </c>
      <c r="U91" s="16" t="str" cm="1">
        <f t="array" ref="U91">IFERROR(_xlfn.IFS(I91="Assist",1),"")</f>
        <v/>
      </c>
      <c r="V91" s="16" t="str" cm="1">
        <f t="array" ref="V91">IFERROR(_xlfn.IFS(I91="Turnover",1),"")</f>
        <v/>
      </c>
      <c r="W91" s="16" t="str" cm="1">
        <f t="array" ref="W91">IFERROR(_xlfn.IFS(I91="Steal",1),"")</f>
        <v/>
      </c>
      <c r="X91" s="16" t="str" cm="1">
        <f t="array" ref="X91">IFERROR(_xlfn.IFS(I91="Block",1),"")</f>
        <v/>
      </c>
      <c r="Y91" s="16" t="str" cm="1">
        <f t="array" ref="Y91">IFERROR(_xlfn.IFS(I91="Block Received",1),"")</f>
        <v/>
      </c>
      <c r="Z91" s="16" t="str" cm="1">
        <f t="array" ref="Z91">IFERROR(_xlfn.IFS(I91="Foul",1,I91="Foul Technical",1,I91="Offensive Foul",1),"")</f>
        <v/>
      </c>
      <c r="AA91" s="16" t="str" cm="1">
        <f t="array" ref="AA91">IFERROR(_xlfn.IFS(I91="Foul Received",1),"")</f>
        <v/>
      </c>
      <c r="AB91" s="49" t="str" cm="1">
        <f t="array" ref="AB91">IFERROR(_xlfn.IFS(I91="Starting lineup",C91,I91="Substitution - In",C91),"")</f>
        <v/>
      </c>
      <c r="AC91" s="46" t="str" cm="1">
        <f t="array" ref="AC91">IFERROR(_xlfn.IFS(I91="Finishing lineup",C91,I91="Substitution - Out",C91),"")</f>
        <v/>
      </c>
      <c r="AD91" s="46" t="str" cm="1">
        <f t="array" ref="AD91">IF(AC91&lt;&gt;"",LOOKUP(2,1/((G$2:G90=G91)*(AB$2:AB90&lt;&gt;"")),AB$2:AB90)-AC91,"")</f>
        <v/>
      </c>
      <c r="AE91" s="50" t="str" cm="1">
        <f t="array" ref="AE91">IF(AC91&lt;&gt;"",LOOKUP(2,1/((G$2:G90=G91)*(AB$2:AB90&lt;&gt;"")),AB$2:AB90)-AC91,"")</f>
        <v/>
      </c>
    </row>
    <row r="92" spans="1:31" hidden="1" x14ac:dyDescent="0.35">
      <c r="A92" s="19">
        <v>1</v>
      </c>
      <c r="B92" s="19">
        <v>91</v>
      </c>
      <c r="C92" s="46">
        <v>2.8009259259259259E-3</v>
      </c>
      <c r="D92" s="16">
        <f t="shared" si="4"/>
        <v>4</v>
      </c>
      <c r="E92" s="16">
        <f t="shared" si="5"/>
        <v>2</v>
      </c>
      <c r="F92" s="19" t="s">
        <v>16</v>
      </c>
      <c r="G92" s="16" t="s">
        <v>41</v>
      </c>
      <c r="H92" s="16" t="str">
        <f>_xlfn.XLOOKUP(G92,'1-Players'!$A$2:$A$27,'1-Players'!$D$2:$D$27,"")</f>
        <v>John Shurna</v>
      </c>
      <c r="I92" s="19" t="s">
        <v>61</v>
      </c>
      <c r="K92" s="16" t="str" cm="1">
        <f t="array" ref="K92">IFERROR(_xlfn.IFS(I92="Free Throw",1,I92="2-Point Shot",2,I92="Dunk",2,I92="3-Point Shot",3),"")</f>
        <v/>
      </c>
      <c r="L92" s="16" t="str" cm="1">
        <f t="array" ref="L92">IFERROR(_xlfn.IFS(J92="Made",1,J92="Missed",0),"")</f>
        <v/>
      </c>
      <c r="M92" s="16" t="str">
        <f t="shared" si="6"/>
        <v/>
      </c>
      <c r="R92" s="16" t="str">
        <f t="shared" si="7"/>
        <v/>
      </c>
      <c r="S92" s="16" t="str" cm="1">
        <f t="array" ref="S92">IFERROR(_xlfn.IFS(I92="Offensive Rebound",1),"")</f>
        <v/>
      </c>
      <c r="T92" s="16" t="str" cm="1">
        <f t="array" ref="T92">IFERROR(_xlfn.IFS(I92="Defensive Rebound",1),"")</f>
        <v/>
      </c>
      <c r="U92" s="16" cm="1">
        <f t="array" ref="U92">IFERROR(_xlfn.IFS(I92="Assist",1),"")</f>
        <v>1</v>
      </c>
      <c r="V92" s="16" t="str" cm="1">
        <f t="array" ref="V92">IFERROR(_xlfn.IFS(I92="Turnover",1),"")</f>
        <v/>
      </c>
      <c r="W92" s="16" t="str" cm="1">
        <f t="array" ref="W92">IFERROR(_xlfn.IFS(I92="Steal",1),"")</f>
        <v/>
      </c>
      <c r="X92" s="16" t="str" cm="1">
        <f t="array" ref="X92">IFERROR(_xlfn.IFS(I92="Block",1),"")</f>
        <v/>
      </c>
      <c r="Y92" s="16" t="str" cm="1">
        <f t="array" ref="Y92">IFERROR(_xlfn.IFS(I92="Block Received",1),"")</f>
        <v/>
      </c>
      <c r="Z92" s="16" t="str" cm="1">
        <f t="array" ref="Z92">IFERROR(_xlfn.IFS(I92="Foul",1,I92="Foul Technical",1,I92="Offensive Foul",1),"")</f>
        <v/>
      </c>
      <c r="AA92" s="16" t="str" cm="1">
        <f t="array" ref="AA92">IFERROR(_xlfn.IFS(I92="Foul Received",1),"")</f>
        <v/>
      </c>
      <c r="AB92" s="49" t="str" cm="1">
        <f t="array" ref="AB92">IFERROR(_xlfn.IFS(I92="Starting lineup",C92,I92="Substitution - In",C92),"")</f>
        <v/>
      </c>
      <c r="AC92" s="46" t="str" cm="1">
        <f t="array" ref="AC92">IFERROR(_xlfn.IFS(I92="Finishing lineup",C92,I92="Substitution - Out",C92),"")</f>
        <v/>
      </c>
      <c r="AD92" s="46" t="str" cm="1">
        <f t="array" ref="AD92">IF(AC92&lt;&gt;"",LOOKUP(2,1/((G$2:G91=G92)*(AB$2:AB91&lt;&gt;"")),AB$2:AB91)-AC92,"")</f>
        <v/>
      </c>
      <c r="AE92" s="50" t="str" cm="1">
        <f t="array" ref="AE92">IF(AC92&lt;&gt;"",LOOKUP(2,1/((G$2:G91=G92)*(AB$2:AB91&lt;&gt;"")),AB$2:AB91)-AC92,"")</f>
        <v/>
      </c>
    </row>
    <row r="93" spans="1:31" hidden="1" x14ac:dyDescent="0.35">
      <c r="A93" s="16">
        <v>1</v>
      </c>
      <c r="B93" s="19">
        <v>92</v>
      </c>
      <c r="C93" s="46">
        <v>2.8009259259259259E-3</v>
      </c>
      <c r="D93" s="16">
        <f t="shared" si="4"/>
        <v>4</v>
      </c>
      <c r="E93" s="16">
        <f t="shared" si="5"/>
        <v>2</v>
      </c>
      <c r="F93" s="19" t="s">
        <v>46</v>
      </c>
      <c r="G93" s="16" t="s">
        <v>27</v>
      </c>
      <c r="H93" s="16" t="str">
        <f>_xlfn.XLOOKUP(G93,'1-Players'!$A$2:$A$27,'1-Players'!$D$2:$D$27,"")</f>
        <v>Kaodirichi Akobundu</v>
      </c>
      <c r="I93" s="19" t="s">
        <v>106</v>
      </c>
      <c r="K93" s="16" t="str" cm="1">
        <f t="array" ref="K93">IFERROR(_xlfn.IFS(I93="Free Throw",1,I93="2-Point Shot",2,I93="Dunk",2,I93="3-Point Shot",3),"")</f>
        <v/>
      </c>
      <c r="L93" s="16" t="str" cm="1">
        <f t="array" ref="L93">IFERROR(_xlfn.IFS(J93="Made",1,J93="Missed",0),"")</f>
        <v/>
      </c>
      <c r="M93" s="16" t="str">
        <f t="shared" si="6"/>
        <v/>
      </c>
      <c r="R93" s="16" t="str">
        <f t="shared" si="7"/>
        <v/>
      </c>
      <c r="S93" s="16" t="str" cm="1">
        <f t="array" ref="S93">IFERROR(_xlfn.IFS(I93="Offensive Rebound",1),"")</f>
        <v/>
      </c>
      <c r="T93" s="16" t="str" cm="1">
        <f t="array" ref="T93">IFERROR(_xlfn.IFS(I93="Defensive Rebound",1),"")</f>
        <v/>
      </c>
      <c r="U93" s="16" t="str" cm="1">
        <f t="array" ref="U93">IFERROR(_xlfn.IFS(I93="Assist",1),"")</f>
        <v/>
      </c>
      <c r="V93" s="16" t="str" cm="1">
        <f t="array" ref="V93">IFERROR(_xlfn.IFS(I93="Turnover",1),"")</f>
        <v/>
      </c>
      <c r="W93" s="16" t="str" cm="1">
        <f t="array" ref="W93">IFERROR(_xlfn.IFS(I93="Steal",1),"")</f>
        <v/>
      </c>
      <c r="X93" s="16" t="str" cm="1">
        <f t="array" ref="X93">IFERROR(_xlfn.IFS(I93="Block",1),"")</f>
        <v/>
      </c>
      <c r="Y93" s="16" t="str" cm="1">
        <f t="array" ref="Y93">IFERROR(_xlfn.IFS(I93="Block Received",1),"")</f>
        <v/>
      </c>
      <c r="Z93" s="16" cm="1">
        <f t="array" ref="Z93">IFERROR(_xlfn.IFS(I93="Foul",1,I93="Foul Technical",1,I93="Offensive Foul",1),"")</f>
        <v>1</v>
      </c>
      <c r="AA93" s="16" t="str" cm="1">
        <f t="array" ref="AA93">IFERROR(_xlfn.IFS(I93="Foul Received",1),"")</f>
        <v/>
      </c>
      <c r="AB93" s="49" t="str" cm="1">
        <f t="array" ref="AB93">IFERROR(_xlfn.IFS(I93="Starting lineup",C93,I93="Substitution - In",C93),"")</f>
        <v/>
      </c>
      <c r="AC93" s="46" t="str" cm="1">
        <f t="array" ref="AC93">IFERROR(_xlfn.IFS(I93="Finishing lineup",C93,I93="Substitution - Out",C93),"")</f>
        <v/>
      </c>
      <c r="AD93" s="46" t="str" cm="1">
        <f t="array" ref="AD93">IF(AC93&lt;&gt;"",LOOKUP(2,1/((G$2:G92=G93)*(AB$2:AB92&lt;&gt;"")),AB$2:AB92)-AC93,"")</f>
        <v/>
      </c>
      <c r="AE93" s="50" t="str" cm="1">
        <f t="array" ref="AE93">IF(AC93&lt;&gt;"",LOOKUP(2,1/((G$2:G92=G93)*(AB$2:AB92&lt;&gt;"")),AB$2:AB92)-AC93,"")</f>
        <v/>
      </c>
    </row>
    <row r="94" spans="1:31" hidden="1" x14ac:dyDescent="0.35">
      <c r="A94" s="16">
        <v>1</v>
      </c>
      <c r="B94" s="19">
        <v>93</v>
      </c>
      <c r="C94" s="46">
        <v>2.8009259259259259E-3</v>
      </c>
      <c r="D94" s="16">
        <f t="shared" si="4"/>
        <v>4</v>
      </c>
      <c r="E94" s="16">
        <f t="shared" si="5"/>
        <v>2</v>
      </c>
      <c r="F94" s="19" t="s">
        <v>16</v>
      </c>
      <c r="G94" s="16" t="s">
        <v>45</v>
      </c>
      <c r="H94" s="16" t="str">
        <f>_xlfn.XLOOKUP(G94,'1-Players'!$A$2:$A$27,'1-Players'!$D$2:$D$27,"")</f>
        <v>Gyorgy Golomán</v>
      </c>
      <c r="I94" s="19" t="s">
        <v>108</v>
      </c>
      <c r="K94" s="16" t="str" cm="1">
        <f t="array" ref="K94">IFERROR(_xlfn.IFS(I94="Free Throw",1,I94="2-Point Shot",2,I94="Dunk",2,I94="3-Point Shot",3),"")</f>
        <v/>
      </c>
      <c r="L94" s="16" t="str" cm="1">
        <f t="array" ref="L94">IFERROR(_xlfn.IFS(J94="Made",1,J94="Missed",0),"")</f>
        <v/>
      </c>
      <c r="M94" s="16" t="str">
        <f t="shared" si="6"/>
        <v/>
      </c>
      <c r="R94" s="16" t="str">
        <f t="shared" si="7"/>
        <v/>
      </c>
      <c r="S94" s="16" t="str" cm="1">
        <f t="array" ref="S94">IFERROR(_xlfn.IFS(I94="Offensive Rebound",1),"")</f>
        <v/>
      </c>
      <c r="T94" s="16" t="str" cm="1">
        <f t="array" ref="T94">IFERROR(_xlfn.IFS(I94="Defensive Rebound",1),"")</f>
        <v/>
      </c>
      <c r="U94" s="16" t="str" cm="1">
        <f t="array" ref="U94">IFERROR(_xlfn.IFS(I94="Assist",1),"")</f>
        <v/>
      </c>
      <c r="V94" s="16" t="str" cm="1">
        <f t="array" ref="V94">IFERROR(_xlfn.IFS(I94="Turnover",1),"")</f>
        <v/>
      </c>
      <c r="W94" s="16" t="str" cm="1">
        <f t="array" ref="W94">IFERROR(_xlfn.IFS(I94="Steal",1),"")</f>
        <v/>
      </c>
      <c r="X94" s="16" t="str" cm="1">
        <f t="array" ref="X94">IFERROR(_xlfn.IFS(I94="Block",1),"")</f>
        <v/>
      </c>
      <c r="Y94" s="16" t="str" cm="1">
        <f t="array" ref="Y94">IFERROR(_xlfn.IFS(I94="Block Received",1),"")</f>
        <v/>
      </c>
      <c r="Z94" s="16" t="str" cm="1">
        <f t="array" ref="Z94">IFERROR(_xlfn.IFS(I94="Foul",1,I94="Foul Technical",1,I94="Offensive Foul",1),"")</f>
        <v/>
      </c>
      <c r="AA94" s="16" cm="1">
        <f t="array" ref="AA94">IFERROR(_xlfn.IFS(I94="Foul Received",1),"")</f>
        <v>1</v>
      </c>
      <c r="AB94" s="49" t="str" cm="1">
        <f t="array" ref="AB94">IFERROR(_xlfn.IFS(I94="Starting lineup",C94,I94="Substitution - In",C94),"")</f>
        <v/>
      </c>
      <c r="AC94" s="46" t="str" cm="1">
        <f t="array" ref="AC94">IFERROR(_xlfn.IFS(I94="Finishing lineup",C94,I94="Substitution - Out",C94),"")</f>
        <v/>
      </c>
      <c r="AD94" s="46" t="str" cm="1">
        <f t="array" ref="AD94">IF(AC94&lt;&gt;"",LOOKUP(2,1/((G$2:G93=G94)*(AB$2:AB93&lt;&gt;"")),AB$2:AB93)-AC94,"")</f>
        <v/>
      </c>
      <c r="AE94" s="50" t="str" cm="1">
        <f t="array" ref="AE94">IF(AC94&lt;&gt;"",LOOKUP(2,1/((G$2:G93=G94)*(AB$2:AB93&lt;&gt;"")),AB$2:AB93)-AC94,"")</f>
        <v/>
      </c>
    </row>
    <row r="95" spans="1:31" hidden="1" x14ac:dyDescent="0.35">
      <c r="A95" s="19">
        <v>1</v>
      </c>
      <c r="B95" s="19">
        <v>94</v>
      </c>
      <c r="C95" s="46">
        <v>2.8009259259259259E-3</v>
      </c>
      <c r="D95" s="16">
        <f t="shared" si="4"/>
        <v>4</v>
      </c>
      <c r="E95" s="16">
        <f t="shared" si="5"/>
        <v>2</v>
      </c>
      <c r="F95" s="19" t="s">
        <v>16</v>
      </c>
      <c r="G95" s="16" t="s">
        <v>45</v>
      </c>
      <c r="H95" s="16" t="str">
        <f>_xlfn.XLOOKUP(G95,'1-Players'!$A$2:$A$27,'1-Players'!$D$2:$D$27,"")</f>
        <v>Gyorgy Golomán</v>
      </c>
      <c r="I95" s="19" t="s">
        <v>85</v>
      </c>
      <c r="J95" s="19" t="s">
        <v>60</v>
      </c>
      <c r="K95" s="16" cm="1">
        <f t="array" ref="K95">IFERROR(_xlfn.IFS(I95="Free Throw",1,I95="2-Point Shot",2,I95="Dunk",2,I95="3-Point Shot",3),"")</f>
        <v>1</v>
      </c>
      <c r="L95" s="16" cm="1">
        <f t="array" ref="L95">IFERROR(_xlfn.IFS(J95="Made",1,J95="Missed",0),"")</f>
        <v>1</v>
      </c>
      <c r="M95" s="16">
        <f t="shared" si="6"/>
        <v>1</v>
      </c>
      <c r="R95" s="16" t="str">
        <f t="shared" si="7"/>
        <v>N</v>
      </c>
      <c r="S95" s="16" t="str" cm="1">
        <f t="array" ref="S95">IFERROR(_xlfn.IFS(I95="Offensive Rebound",1),"")</f>
        <v/>
      </c>
      <c r="T95" s="16" t="str" cm="1">
        <f t="array" ref="T95">IFERROR(_xlfn.IFS(I95="Defensive Rebound",1),"")</f>
        <v/>
      </c>
      <c r="U95" s="16" t="str" cm="1">
        <f t="array" ref="U95">IFERROR(_xlfn.IFS(I95="Assist",1),"")</f>
        <v/>
      </c>
      <c r="V95" s="16" t="str" cm="1">
        <f t="array" ref="V95">IFERROR(_xlfn.IFS(I95="Turnover",1),"")</f>
        <v/>
      </c>
      <c r="W95" s="16" t="str" cm="1">
        <f t="array" ref="W95">IFERROR(_xlfn.IFS(I95="Steal",1),"")</f>
        <v/>
      </c>
      <c r="X95" s="16" t="str" cm="1">
        <f t="array" ref="X95">IFERROR(_xlfn.IFS(I95="Block",1),"")</f>
        <v/>
      </c>
      <c r="Y95" s="16" t="str" cm="1">
        <f t="array" ref="Y95">IFERROR(_xlfn.IFS(I95="Block Received",1),"")</f>
        <v/>
      </c>
      <c r="Z95" s="16" t="str" cm="1">
        <f t="array" ref="Z95">IFERROR(_xlfn.IFS(I95="Foul",1,I95="Foul Technical",1,I95="Offensive Foul",1),"")</f>
        <v/>
      </c>
      <c r="AA95" s="16" t="str" cm="1">
        <f t="array" ref="AA95">IFERROR(_xlfn.IFS(I95="Foul Received",1),"")</f>
        <v/>
      </c>
      <c r="AB95" s="49" t="str" cm="1">
        <f t="array" ref="AB95">IFERROR(_xlfn.IFS(I95="Starting lineup",C95,I95="Substitution - In",C95),"")</f>
        <v/>
      </c>
      <c r="AC95" s="46" t="str" cm="1">
        <f t="array" ref="AC95">IFERROR(_xlfn.IFS(I95="Finishing lineup",C95,I95="Substitution - Out",C95),"")</f>
        <v/>
      </c>
      <c r="AD95" s="46" t="str" cm="1">
        <f t="array" ref="AD95">IF(AC95&lt;&gt;"",LOOKUP(2,1/((G$2:G94=G95)*(AB$2:AB94&lt;&gt;"")),AB$2:AB94)-AC95,"")</f>
        <v/>
      </c>
      <c r="AE95" s="50" t="str" cm="1">
        <f t="array" ref="AE95">IF(AC95&lt;&gt;"",LOOKUP(2,1/((G$2:G94=G95)*(AB$2:AB94&lt;&gt;"")),AB$2:AB94)-AC95,"")</f>
        <v/>
      </c>
    </row>
    <row r="96" spans="1:31" hidden="1" x14ac:dyDescent="0.35">
      <c r="A96" s="16">
        <v>1</v>
      </c>
      <c r="B96" s="19">
        <v>95</v>
      </c>
      <c r="C96" s="46">
        <v>2.7893518518518519E-3</v>
      </c>
      <c r="D96" s="16">
        <f t="shared" si="4"/>
        <v>4</v>
      </c>
      <c r="E96" s="16">
        <f t="shared" si="5"/>
        <v>1</v>
      </c>
      <c r="F96" s="19" t="s">
        <v>46</v>
      </c>
      <c r="G96" s="16" t="s">
        <v>9</v>
      </c>
      <c r="H96" s="16" t="str">
        <f>_xlfn.XLOOKUP(G96,'1-Players'!$A$2:$A$27,'1-Players'!$D$2:$D$27,"")</f>
        <v>Agustín Ubal</v>
      </c>
      <c r="I96" s="19" t="s">
        <v>112</v>
      </c>
      <c r="J96" s="19" t="s">
        <v>113</v>
      </c>
      <c r="K96" s="16" t="str" cm="1">
        <f t="array" ref="K96">IFERROR(_xlfn.IFS(I96="Free Throw",1,I96="2-Point Shot",2,I96="Dunk",2,I96="3-Point Shot",3),"")</f>
        <v/>
      </c>
      <c r="L96" s="16" t="str" cm="1">
        <f t="array" ref="L96">IFERROR(_xlfn.IFS(J96="Made",1,J96="Missed",0),"")</f>
        <v/>
      </c>
      <c r="M96" s="16" t="str">
        <f t="shared" si="6"/>
        <v/>
      </c>
      <c r="R96" s="16" t="str">
        <f t="shared" si="7"/>
        <v/>
      </c>
      <c r="S96" s="16" t="str" cm="1">
        <f t="array" ref="S96">IFERROR(_xlfn.IFS(I96="Offensive Rebound",1),"")</f>
        <v/>
      </c>
      <c r="T96" s="16" t="str" cm="1">
        <f t="array" ref="T96">IFERROR(_xlfn.IFS(I96="Defensive Rebound",1),"")</f>
        <v/>
      </c>
      <c r="U96" s="16" t="str" cm="1">
        <f t="array" ref="U96">IFERROR(_xlfn.IFS(I96="Assist",1),"")</f>
        <v/>
      </c>
      <c r="V96" s="16" cm="1">
        <f t="array" ref="V96">IFERROR(_xlfn.IFS(I96="Turnover",1),"")</f>
        <v>1</v>
      </c>
      <c r="W96" s="16" t="str" cm="1">
        <f t="array" ref="W96">IFERROR(_xlfn.IFS(I96="Steal",1),"")</f>
        <v/>
      </c>
      <c r="X96" s="16" t="str" cm="1">
        <f t="array" ref="X96">IFERROR(_xlfn.IFS(I96="Block",1),"")</f>
        <v/>
      </c>
      <c r="Y96" s="16" t="str" cm="1">
        <f t="array" ref="Y96">IFERROR(_xlfn.IFS(I96="Block Received",1),"")</f>
        <v/>
      </c>
      <c r="Z96" s="16" t="str" cm="1">
        <f t="array" ref="Z96">IFERROR(_xlfn.IFS(I96="Foul",1,I96="Foul Technical",1,I96="Offensive Foul",1),"")</f>
        <v/>
      </c>
      <c r="AA96" s="16" t="str" cm="1">
        <f t="array" ref="AA96">IFERROR(_xlfn.IFS(I96="Foul Received",1),"")</f>
        <v/>
      </c>
      <c r="AB96" s="49" t="str" cm="1">
        <f t="array" ref="AB96">IFERROR(_xlfn.IFS(I96="Starting lineup",C96,I96="Substitution - In",C96),"")</f>
        <v/>
      </c>
      <c r="AC96" s="46" t="str" cm="1">
        <f t="array" ref="AC96">IFERROR(_xlfn.IFS(I96="Finishing lineup",C96,I96="Substitution - Out",C96),"")</f>
        <v/>
      </c>
      <c r="AD96" s="46" t="str" cm="1">
        <f t="array" ref="AD96">IF(AC96&lt;&gt;"",LOOKUP(2,1/((G$2:G95=G96)*(AB$2:AB95&lt;&gt;"")),AB$2:AB95)-AC96,"")</f>
        <v/>
      </c>
      <c r="AE96" s="50" t="str" cm="1">
        <f t="array" ref="AE96">IF(AC96&lt;&gt;"",LOOKUP(2,1/((G$2:G95=G96)*(AB$2:AB95&lt;&gt;"")),AB$2:AB95)-AC96,"")</f>
        <v/>
      </c>
    </row>
    <row r="97" spans="1:31" hidden="1" x14ac:dyDescent="0.35">
      <c r="A97" s="16">
        <v>1</v>
      </c>
      <c r="B97" s="19">
        <v>96</v>
      </c>
      <c r="C97" s="46">
        <v>2.7893518518518519E-3</v>
      </c>
      <c r="D97" s="16">
        <f t="shared" si="4"/>
        <v>4</v>
      </c>
      <c r="E97" s="16">
        <f t="shared" si="5"/>
        <v>1</v>
      </c>
      <c r="F97" s="19" t="s">
        <v>16</v>
      </c>
      <c r="G97" s="16" t="s">
        <v>39</v>
      </c>
      <c r="H97" s="16" t="str">
        <f>_xlfn.XLOOKUP(G97,'1-Players'!$A$2:$A$27,'1-Players'!$D$2:$D$27,"")</f>
        <v>Millán Jiménez</v>
      </c>
      <c r="I97" s="19" t="s">
        <v>115</v>
      </c>
      <c r="K97" s="16" t="str" cm="1">
        <f t="array" ref="K97">IFERROR(_xlfn.IFS(I97="Free Throw",1,I97="2-Point Shot",2,I97="Dunk",2,I97="3-Point Shot",3),"")</f>
        <v/>
      </c>
      <c r="L97" s="16" t="str" cm="1">
        <f t="array" ref="L97">IFERROR(_xlfn.IFS(J97="Made",1,J97="Missed",0),"")</f>
        <v/>
      </c>
      <c r="M97" s="16" t="str">
        <f t="shared" si="6"/>
        <v/>
      </c>
      <c r="R97" s="16" t="str">
        <f t="shared" si="7"/>
        <v/>
      </c>
      <c r="S97" s="16" t="str" cm="1">
        <f t="array" ref="S97">IFERROR(_xlfn.IFS(I97="Offensive Rebound",1),"")</f>
        <v/>
      </c>
      <c r="T97" s="16" t="str" cm="1">
        <f t="array" ref="T97">IFERROR(_xlfn.IFS(I97="Defensive Rebound",1),"")</f>
        <v/>
      </c>
      <c r="U97" s="16" t="str" cm="1">
        <f t="array" ref="U97">IFERROR(_xlfn.IFS(I97="Assist",1),"")</f>
        <v/>
      </c>
      <c r="V97" s="16" t="str" cm="1">
        <f t="array" ref="V97">IFERROR(_xlfn.IFS(I97="Turnover",1),"")</f>
        <v/>
      </c>
      <c r="W97" s="16" cm="1">
        <f t="array" ref="W97">IFERROR(_xlfn.IFS(I97="Steal",1),"")</f>
        <v>1</v>
      </c>
      <c r="X97" s="16" t="str" cm="1">
        <f t="array" ref="X97">IFERROR(_xlfn.IFS(I97="Block",1),"")</f>
        <v/>
      </c>
      <c r="Y97" s="16" t="str" cm="1">
        <f t="array" ref="Y97">IFERROR(_xlfn.IFS(I97="Block Received",1),"")</f>
        <v/>
      </c>
      <c r="Z97" s="16" t="str" cm="1">
        <f t="array" ref="Z97">IFERROR(_xlfn.IFS(I97="Foul",1,I97="Foul Technical",1,I97="Offensive Foul",1),"")</f>
        <v/>
      </c>
      <c r="AA97" s="16" t="str" cm="1">
        <f t="array" ref="AA97">IFERROR(_xlfn.IFS(I97="Foul Received",1),"")</f>
        <v/>
      </c>
      <c r="AB97" s="49" t="str" cm="1">
        <f t="array" ref="AB97">IFERROR(_xlfn.IFS(I97="Starting lineup",C97,I97="Substitution - In",C97),"")</f>
        <v/>
      </c>
      <c r="AC97" s="46" t="str" cm="1">
        <f t="array" ref="AC97">IFERROR(_xlfn.IFS(I97="Finishing lineup",C97,I97="Substitution - Out",C97),"")</f>
        <v/>
      </c>
      <c r="AD97" s="46" t="str" cm="1">
        <f t="array" ref="AD97">IF(AC97&lt;&gt;"",LOOKUP(2,1/((G$2:G96=G97)*(AB$2:AB96&lt;&gt;"")),AB$2:AB96)-AC97,"")</f>
        <v/>
      </c>
      <c r="AE97" s="50" t="str" cm="1">
        <f t="array" ref="AE97">IF(AC97&lt;&gt;"",LOOKUP(2,1/((G$2:G96=G97)*(AB$2:AB96&lt;&gt;"")),AB$2:AB96)-AC97,"")</f>
        <v/>
      </c>
    </row>
    <row r="98" spans="1:31" x14ac:dyDescent="0.35">
      <c r="A98" s="19">
        <v>1</v>
      </c>
      <c r="B98" s="19">
        <v>97</v>
      </c>
      <c r="C98" s="46">
        <v>2.7546296296296294E-3</v>
      </c>
      <c r="D98" s="16">
        <f t="shared" si="4"/>
        <v>3</v>
      </c>
      <c r="E98" s="16">
        <f t="shared" si="5"/>
        <v>58</v>
      </c>
      <c r="F98" s="19" t="s">
        <v>16</v>
      </c>
      <c r="G98" s="16" t="s">
        <v>18</v>
      </c>
      <c r="H98" s="16" t="str">
        <f>_xlfn.XLOOKUP(G98,'1-Players'!$A$2:$A$27,'1-Players'!$D$2:$D$27,"")</f>
        <v>Corey Walden</v>
      </c>
      <c r="I98" s="19" t="s">
        <v>83</v>
      </c>
      <c r="J98" s="19" t="s">
        <v>63</v>
      </c>
      <c r="K98" s="16" cm="1">
        <f t="array" ref="K98">IFERROR(_xlfn.IFS(I98="Free Throw",1,I98="2-Point Shot",2,I98="Dunk",2,I98="3-Point Shot",3),"")</f>
        <v>3</v>
      </c>
      <c r="L98" s="16" cm="1">
        <f t="array" ref="L98">IFERROR(_xlfn.IFS(J98="Made",1,J98="Missed",0),"")</f>
        <v>0</v>
      </c>
      <c r="M98" s="16">
        <f t="shared" si="6"/>
        <v>0</v>
      </c>
      <c r="N98" s="16" t="s">
        <v>180</v>
      </c>
      <c r="O98" s="16" t="s">
        <v>184</v>
      </c>
      <c r="P98" s="16">
        <v>21</v>
      </c>
      <c r="Q98" s="16" t="s">
        <v>125</v>
      </c>
      <c r="R98" s="16" t="str">
        <f t="shared" si="7"/>
        <v/>
      </c>
      <c r="S98" s="16" t="str" cm="1">
        <f t="array" ref="S98">IFERROR(_xlfn.IFS(I98="Offensive Rebound",1),"")</f>
        <v/>
      </c>
      <c r="T98" s="16" t="str" cm="1">
        <f t="array" ref="T98">IFERROR(_xlfn.IFS(I98="Defensive Rebound",1),"")</f>
        <v/>
      </c>
      <c r="U98" s="16" t="str" cm="1">
        <f t="array" ref="U98">IFERROR(_xlfn.IFS(I98="Assist",1),"")</f>
        <v/>
      </c>
      <c r="V98" s="16" t="str" cm="1">
        <f t="array" ref="V98">IFERROR(_xlfn.IFS(I98="Turnover",1),"")</f>
        <v/>
      </c>
      <c r="W98" s="16" t="str" cm="1">
        <f t="array" ref="W98">IFERROR(_xlfn.IFS(I98="Steal",1),"")</f>
        <v/>
      </c>
      <c r="X98" s="16" t="str" cm="1">
        <f t="array" ref="X98">IFERROR(_xlfn.IFS(I98="Block",1),"")</f>
        <v/>
      </c>
      <c r="Y98" s="16" t="str" cm="1">
        <f t="array" ref="Y98">IFERROR(_xlfn.IFS(I98="Block Received",1),"")</f>
        <v/>
      </c>
      <c r="Z98" s="16" t="str" cm="1">
        <f t="array" ref="Z98">IFERROR(_xlfn.IFS(I98="Foul",1,I98="Foul Technical",1,I98="Offensive Foul",1),"")</f>
        <v/>
      </c>
      <c r="AA98" s="16" t="str" cm="1">
        <f t="array" ref="AA98">IFERROR(_xlfn.IFS(I98="Foul Received",1),"")</f>
        <v/>
      </c>
      <c r="AB98" s="49" t="str" cm="1">
        <f t="array" ref="AB98">IFERROR(_xlfn.IFS(I98="Starting lineup",C98,I98="Substitution - In",C98),"")</f>
        <v/>
      </c>
      <c r="AC98" s="46" t="str" cm="1">
        <f t="array" ref="AC98">IFERROR(_xlfn.IFS(I98="Finishing lineup",C98,I98="Substitution - Out",C98),"")</f>
        <v/>
      </c>
      <c r="AD98" s="46" t="str" cm="1">
        <f t="array" ref="AD98">IF(AC98&lt;&gt;"",LOOKUP(2,1/((G$2:G97=G98)*(AB$2:AB97&lt;&gt;"")),AB$2:AB97)-AC98,"")</f>
        <v/>
      </c>
      <c r="AE98" s="50" t="str" cm="1">
        <f t="array" ref="AE98">IF(AC98&lt;&gt;"",LOOKUP(2,1/((G$2:G97=G98)*(AB$2:AB97&lt;&gt;"")),AB$2:AB97)-AC98,"")</f>
        <v/>
      </c>
    </row>
    <row r="99" spans="1:31" hidden="1" x14ac:dyDescent="0.35">
      <c r="A99" s="16">
        <v>1</v>
      </c>
      <c r="B99" s="19">
        <v>98</v>
      </c>
      <c r="C99" s="46">
        <v>2.7546296296296294E-3</v>
      </c>
      <c r="D99" s="16">
        <f t="shared" si="4"/>
        <v>3</v>
      </c>
      <c r="E99" s="16">
        <f t="shared" si="5"/>
        <v>58</v>
      </c>
      <c r="F99" s="19" t="s">
        <v>46</v>
      </c>
      <c r="G99" s="16" t="s">
        <v>70</v>
      </c>
      <c r="H99" s="16" t="str">
        <f>_xlfn.XLOOKUP(G99,'1-Players'!$A$2:$A$27,'1-Players'!$D$2:$D$27,"")</f>
        <v>Louis Olinde</v>
      </c>
      <c r="I99" s="19" t="s">
        <v>84</v>
      </c>
      <c r="K99" s="16" t="str" cm="1">
        <f t="array" ref="K99">IFERROR(_xlfn.IFS(I99="Free Throw",1,I99="2-Point Shot",2,I99="Dunk",2,I99="3-Point Shot",3),"")</f>
        <v/>
      </c>
      <c r="L99" s="16" t="str" cm="1">
        <f t="array" ref="L99">IFERROR(_xlfn.IFS(J99="Made",1,J99="Missed",0),"")</f>
        <v/>
      </c>
      <c r="M99" s="16" t="str">
        <f t="shared" si="6"/>
        <v/>
      </c>
      <c r="R99" s="16" t="str">
        <f t="shared" si="7"/>
        <v/>
      </c>
      <c r="S99" s="16" t="str" cm="1">
        <f t="array" ref="S99">IFERROR(_xlfn.IFS(I99="Offensive Rebound",1),"")</f>
        <v/>
      </c>
      <c r="T99" s="16" cm="1">
        <f t="array" ref="T99">IFERROR(_xlfn.IFS(I99="Defensive Rebound",1),"")</f>
        <v>1</v>
      </c>
      <c r="U99" s="16" t="str" cm="1">
        <f t="array" ref="U99">IFERROR(_xlfn.IFS(I99="Assist",1),"")</f>
        <v/>
      </c>
      <c r="V99" s="16" t="str" cm="1">
        <f t="array" ref="V99">IFERROR(_xlfn.IFS(I99="Turnover",1),"")</f>
        <v/>
      </c>
      <c r="W99" s="16" t="str" cm="1">
        <f t="array" ref="W99">IFERROR(_xlfn.IFS(I99="Steal",1),"")</f>
        <v/>
      </c>
      <c r="X99" s="16" t="str" cm="1">
        <f t="array" ref="X99">IFERROR(_xlfn.IFS(I99="Block",1),"")</f>
        <v/>
      </c>
      <c r="Y99" s="16" t="str" cm="1">
        <f t="array" ref="Y99">IFERROR(_xlfn.IFS(I99="Block Received",1),"")</f>
        <v/>
      </c>
      <c r="Z99" s="16" t="str" cm="1">
        <f t="array" ref="Z99">IFERROR(_xlfn.IFS(I99="Foul",1,I99="Foul Technical",1,I99="Offensive Foul",1),"")</f>
        <v/>
      </c>
      <c r="AA99" s="16" t="str" cm="1">
        <f t="array" ref="AA99">IFERROR(_xlfn.IFS(I99="Foul Received",1),"")</f>
        <v/>
      </c>
      <c r="AB99" s="49" t="str" cm="1">
        <f t="array" ref="AB99">IFERROR(_xlfn.IFS(I99="Starting lineup",C99,I99="Substitution - In",C99),"")</f>
        <v/>
      </c>
      <c r="AC99" s="46" t="str" cm="1">
        <f t="array" ref="AC99">IFERROR(_xlfn.IFS(I99="Finishing lineup",C99,I99="Substitution - Out",C99),"")</f>
        <v/>
      </c>
      <c r="AD99" s="46" t="str" cm="1">
        <f t="array" ref="AD99">IF(AC99&lt;&gt;"",LOOKUP(2,1/((G$2:G98=G99)*(AB$2:AB98&lt;&gt;"")),AB$2:AB98)-AC99,"")</f>
        <v/>
      </c>
      <c r="AE99" s="50" t="str" cm="1">
        <f t="array" ref="AE99">IF(AC99&lt;&gt;"",LOOKUP(2,1/((G$2:G98=G99)*(AB$2:AB98&lt;&gt;"")),AB$2:AB98)-AC99,"")</f>
        <v/>
      </c>
    </row>
    <row r="100" spans="1:31" hidden="1" x14ac:dyDescent="0.35">
      <c r="A100" s="16">
        <v>1</v>
      </c>
      <c r="B100" s="19">
        <v>99</v>
      </c>
      <c r="C100" s="46">
        <v>2.7083333333333334E-3</v>
      </c>
      <c r="D100" s="16">
        <f t="shared" si="4"/>
        <v>3</v>
      </c>
      <c r="E100" s="16">
        <f t="shared" si="5"/>
        <v>54</v>
      </c>
      <c r="F100" s="19" t="s">
        <v>46</v>
      </c>
      <c r="G100" s="16" t="s">
        <v>70</v>
      </c>
      <c r="H100" s="16" t="str">
        <f>_xlfn.XLOOKUP(G100,'1-Players'!$A$2:$A$27,'1-Players'!$D$2:$D$27,"")</f>
        <v>Louis Olinde</v>
      </c>
      <c r="I100" s="19" t="s">
        <v>112</v>
      </c>
      <c r="J100" s="19" t="s">
        <v>117</v>
      </c>
      <c r="K100" s="16" t="str" cm="1">
        <f t="array" ref="K100">IFERROR(_xlfn.IFS(I100="Free Throw",1,I100="2-Point Shot",2,I100="Dunk",2,I100="3-Point Shot",3),"")</f>
        <v/>
      </c>
      <c r="L100" s="16" t="str" cm="1">
        <f t="array" ref="L100">IFERROR(_xlfn.IFS(J100="Made",1,J100="Missed",0),"")</f>
        <v/>
      </c>
      <c r="M100" s="16" t="str">
        <f t="shared" si="6"/>
        <v/>
      </c>
      <c r="R100" s="16" t="str">
        <f t="shared" si="7"/>
        <v/>
      </c>
      <c r="S100" s="16" t="str" cm="1">
        <f t="array" ref="S100">IFERROR(_xlfn.IFS(I100="Offensive Rebound",1),"")</f>
        <v/>
      </c>
      <c r="T100" s="16" t="str" cm="1">
        <f t="array" ref="T100">IFERROR(_xlfn.IFS(I100="Defensive Rebound",1),"")</f>
        <v/>
      </c>
      <c r="U100" s="16" t="str" cm="1">
        <f t="array" ref="U100">IFERROR(_xlfn.IFS(I100="Assist",1),"")</f>
        <v/>
      </c>
      <c r="V100" s="16" cm="1">
        <f t="array" ref="V100">IFERROR(_xlfn.IFS(I100="Turnover",1),"")</f>
        <v>1</v>
      </c>
      <c r="W100" s="16" t="str" cm="1">
        <f t="array" ref="W100">IFERROR(_xlfn.IFS(I100="Steal",1),"")</f>
        <v/>
      </c>
      <c r="X100" s="16" t="str" cm="1">
        <f t="array" ref="X100">IFERROR(_xlfn.IFS(I100="Block",1),"")</f>
        <v/>
      </c>
      <c r="Y100" s="16" t="str" cm="1">
        <f t="array" ref="Y100">IFERROR(_xlfn.IFS(I100="Block Received",1),"")</f>
        <v/>
      </c>
      <c r="Z100" s="16" t="str" cm="1">
        <f t="array" ref="Z100">IFERROR(_xlfn.IFS(I100="Foul",1,I100="Foul Technical",1,I100="Offensive Foul",1),"")</f>
        <v/>
      </c>
      <c r="AA100" s="16" t="str" cm="1">
        <f t="array" ref="AA100">IFERROR(_xlfn.IFS(I100="Foul Received",1),"")</f>
        <v/>
      </c>
      <c r="AB100" s="49" t="str" cm="1">
        <f t="array" ref="AB100">IFERROR(_xlfn.IFS(I100="Starting lineup",C100,I100="Substitution - In",C100),"")</f>
        <v/>
      </c>
      <c r="AC100" s="46" t="str" cm="1">
        <f t="array" ref="AC100">IFERROR(_xlfn.IFS(I100="Finishing lineup",C100,I100="Substitution - Out",C100),"")</f>
        <v/>
      </c>
      <c r="AD100" s="46" t="str" cm="1">
        <f t="array" ref="AD100">IF(AC100&lt;&gt;"",LOOKUP(2,1/((G$2:G99=G100)*(AB$2:AB99&lt;&gt;"")),AB$2:AB99)-AC100,"")</f>
        <v/>
      </c>
      <c r="AE100" s="50" t="str" cm="1">
        <f t="array" ref="AE100">IF(AC100&lt;&gt;"",LOOKUP(2,1/((G$2:G99=G100)*(AB$2:AB99&lt;&gt;"")),AB$2:AB99)-AC100,"")</f>
        <v/>
      </c>
    </row>
    <row r="101" spans="1:31" hidden="1" x14ac:dyDescent="0.35">
      <c r="A101" s="19">
        <v>1</v>
      </c>
      <c r="B101" s="19">
        <v>100</v>
      </c>
      <c r="C101" s="46">
        <v>2.7083333333333334E-3</v>
      </c>
      <c r="D101" s="16">
        <f t="shared" si="4"/>
        <v>3</v>
      </c>
      <c r="E101" s="16">
        <f t="shared" si="5"/>
        <v>54</v>
      </c>
      <c r="F101" s="19" t="s">
        <v>16</v>
      </c>
      <c r="G101" s="16" t="s">
        <v>39</v>
      </c>
      <c r="H101" s="16" t="str">
        <f>_xlfn.XLOOKUP(G101,'1-Players'!$A$2:$A$27,'1-Players'!$D$2:$D$27,"")</f>
        <v>Millán Jiménez</v>
      </c>
      <c r="I101" s="19" t="s">
        <v>115</v>
      </c>
      <c r="K101" s="16" t="str" cm="1">
        <f t="array" ref="K101">IFERROR(_xlfn.IFS(I101="Free Throw",1,I101="2-Point Shot",2,I101="Dunk",2,I101="3-Point Shot",3),"")</f>
        <v/>
      </c>
      <c r="L101" s="16" t="str" cm="1">
        <f t="array" ref="L101">IFERROR(_xlfn.IFS(J101="Made",1,J101="Missed",0),"")</f>
        <v/>
      </c>
      <c r="M101" s="16" t="str">
        <f t="shared" si="6"/>
        <v/>
      </c>
      <c r="R101" s="16" t="str">
        <f t="shared" si="7"/>
        <v/>
      </c>
      <c r="S101" s="16" t="str" cm="1">
        <f t="array" ref="S101">IFERROR(_xlfn.IFS(I101="Offensive Rebound",1),"")</f>
        <v/>
      </c>
      <c r="T101" s="16" t="str" cm="1">
        <f t="array" ref="T101">IFERROR(_xlfn.IFS(I101="Defensive Rebound",1),"")</f>
        <v/>
      </c>
      <c r="U101" s="16" t="str" cm="1">
        <f t="array" ref="U101">IFERROR(_xlfn.IFS(I101="Assist",1),"")</f>
        <v/>
      </c>
      <c r="V101" s="16" t="str" cm="1">
        <f t="array" ref="V101">IFERROR(_xlfn.IFS(I101="Turnover",1),"")</f>
        <v/>
      </c>
      <c r="W101" s="16" cm="1">
        <f t="array" ref="W101">IFERROR(_xlfn.IFS(I101="Steal",1),"")</f>
        <v>1</v>
      </c>
      <c r="X101" s="16" t="str" cm="1">
        <f t="array" ref="X101">IFERROR(_xlfn.IFS(I101="Block",1),"")</f>
        <v/>
      </c>
      <c r="Y101" s="16" t="str" cm="1">
        <f t="array" ref="Y101">IFERROR(_xlfn.IFS(I101="Block Received",1),"")</f>
        <v/>
      </c>
      <c r="Z101" s="16" t="str" cm="1">
        <f t="array" ref="Z101">IFERROR(_xlfn.IFS(I101="Foul",1,I101="Foul Technical",1,I101="Offensive Foul",1),"")</f>
        <v/>
      </c>
      <c r="AA101" s="16" t="str" cm="1">
        <f t="array" ref="AA101">IFERROR(_xlfn.IFS(I101="Foul Received",1),"")</f>
        <v/>
      </c>
      <c r="AB101" s="49" t="str" cm="1">
        <f t="array" ref="AB101">IFERROR(_xlfn.IFS(I101="Starting lineup",C101,I101="Substitution - In",C101),"")</f>
        <v/>
      </c>
      <c r="AC101" s="46" t="str" cm="1">
        <f t="array" ref="AC101">IFERROR(_xlfn.IFS(I101="Finishing lineup",C101,I101="Substitution - Out",C101),"")</f>
        <v/>
      </c>
      <c r="AD101" s="46" t="str" cm="1">
        <f t="array" ref="AD101">IF(AC101&lt;&gt;"",LOOKUP(2,1/((G$2:G100=G101)*(AB$2:AB100&lt;&gt;"")),AB$2:AB100)-AC101,"")</f>
        <v/>
      </c>
      <c r="AE101" s="50" t="str" cm="1">
        <f t="array" ref="AE101">IF(AC101&lt;&gt;"",LOOKUP(2,1/((G$2:G100=G101)*(AB$2:AB100&lt;&gt;"")),AB$2:AB100)-AC101,"")</f>
        <v/>
      </c>
    </row>
    <row r="102" spans="1:31" hidden="1" x14ac:dyDescent="0.35">
      <c r="A102" s="16">
        <v>1</v>
      </c>
      <c r="B102" s="19">
        <v>101</v>
      </c>
      <c r="C102" s="46">
        <v>2.5925925925925925E-3</v>
      </c>
      <c r="D102" s="16">
        <f t="shared" si="4"/>
        <v>3</v>
      </c>
      <c r="E102" s="16">
        <f t="shared" si="5"/>
        <v>44</v>
      </c>
      <c r="F102" s="19" t="s">
        <v>16</v>
      </c>
      <c r="G102" s="16" t="s">
        <v>45</v>
      </c>
      <c r="H102" s="16" t="str">
        <f>_xlfn.XLOOKUP(G102,'1-Players'!$A$2:$A$27,'1-Players'!$D$2:$D$27,"")</f>
        <v>Gyorgy Golomán</v>
      </c>
      <c r="I102" s="19" t="s">
        <v>82</v>
      </c>
      <c r="J102" s="19" t="s">
        <v>60</v>
      </c>
      <c r="K102" s="16" cm="1">
        <f t="array" ref="K102">IFERROR(_xlfn.IFS(I102="Free Throw",1,I102="2-Point Shot",2,I102="Dunk",2,I102="3-Point Shot",3),"")</f>
        <v>2</v>
      </c>
      <c r="L102" s="16" cm="1">
        <f t="array" ref="L102">IFERROR(_xlfn.IFS(J102="Made",1,J102="Missed",0),"")</f>
        <v>1</v>
      </c>
      <c r="M102" s="16">
        <f t="shared" si="6"/>
        <v>2</v>
      </c>
      <c r="N102" s="16" t="s">
        <v>176</v>
      </c>
      <c r="O102" s="16" t="s">
        <v>175</v>
      </c>
      <c r="P102" s="16">
        <v>15</v>
      </c>
      <c r="Q102" s="16" t="s">
        <v>102</v>
      </c>
      <c r="R102" s="16" t="str">
        <f t="shared" si="7"/>
        <v>S</v>
      </c>
      <c r="S102" s="16" t="str" cm="1">
        <f t="array" ref="S102">IFERROR(_xlfn.IFS(I102="Offensive Rebound",1),"")</f>
        <v/>
      </c>
      <c r="T102" s="16" t="str" cm="1">
        <f t="array" ref="T102">IFERROR(_xlfn.IFS(I102="Defensive Rebound",1),"")</f>
        <v/>
      </c>
      <c r="U102" s="16" t="str" cm="1">
        <f t="array" ref="U102">IFERROR(_xlfn.IFS(I102="Assist",1),"")</f>
        <v/>
      </c>
      <c r="V102" s="16" t="str" cm="1">
        <f t="array" ref="V102">IFERROR(_xlfn.IFS(I102="Turnover",1),"")</f>
        <v/>
      </c>
      <c r="W102" s="16" t="str" cm="1">
        <f t="array" ref="W102">IFERROR(_xlfn.IFS(I102="Steal",1),"")</f>
        <v/>
      </c>
      <c r="X102" s="16" t="str" cm="1">
        <f t="array" ref="X102">IFERROR(_xlfn.IFS(I102="Block",1),"")</f>
        <v/>
      </c>
      <c r="Y102" s="16" t="str" cm="1">
        <f t="array" ref="Y102">IFERROR(_xlfn.IFS(I102="Block Received",1),"")</f>
        <v/>
      </c>
      <c r="Z102" s="16" t="str" cm="1">
        <f t="array" ref="Z102">IFERROR(_xlfn.IFS(I102="Foul",1,I102="Foul Technical",1,I102="Offensive Foul",1),"")</f>
        <v/>
      </c>
      <c r="AA102" s="16" t="str" cm="1">
        <f t="array" ref="AA102">IFERROR(_xlfn.IFS(I102="Foul Received",1),"")</f>
        <v/>
      </c>
      <c r="AB102" s="49" t="str" cm="1">
        <f t="array" ref="AB102">IFERROR(_xlfn.IFS(I102="Starting lineup",C102,I102="Substitution - In",C102),"")</f>
        <v/>
      </c>
      <c r="AC102" s="46" t="str" cm="1">
        <f t="array" ref="AC102">IFERROR(_xlfn.IFS(I102="Finishing lineup",C102,I102="Substitution - Out",C102),"")</f>
        <v/>
      </c>
      <c r="AD102" s="46" t="str" cm="1">
        <f t="array" ref="AD102">IF(AC102&lt;&gt;"",LOOKUP(2,1/((G$2:G101=G102)*(AB$2:AB101&lt;&gt;"")),AB$2:AB101)-AC102,"")</f>
        <v/>
      </c>
      <c r="AE102" s="50" t="str" cm="1">
        <f t="array" ref="AE102">IF(AC102&lt;&gt;"",LOOKUP(2,1/((G$2:G101=G102)*(AB$2:AB101&lt;&gt;"")),AB$2:AB101)-AC102,"")</f>
        <v/>
      </c>
    </row>
    <row r="103" spans="1:31" hidden="1" x14ac:dyDescent="0.35">
      <c r="A103" s="16">
        <v>1</v>
      </c>
      <c r="B103" s="19">
        <v>102</v>
      </c>
      <c r="C103" s="46">
        <v>2.5925925925925925E-3</v>
      </c>
      <c r="D103" s="16">
        <f t="shared" si="4"/>
        <v>3</v>
      </c>
      <c r="E103" s="16">
        <f t="shared" si="5"/>
        <v>44</v>
      </c>
      <c r="F103" s="19" t="s">
        <v>16</v>
      </c>
      <c r="G103" s="16" t="s">
        <v>18</v>
      </c>
      <c r="H103" s="16" t="str">
        <f>_xlfn.XLOOKUP(G103,'1-Players'!$A$2:$A$27,'1-Players'!$D$2:$D$27,"")</f>
        <v>Corey Walden</v>
      </c>
      <c r="I103" s="19" t="s">
        <v>61</v>
      </c>
      <c r="K103" s="16" t="str" cm="1">
        <f t="array" ref="K103">IFERROR(_xlfn.IFS(I103="Free Throw",1,I103="2-Point Shot",2,I103="Dunk",2,I103="3-Point Shot",3),"")</f>
        <v/>
      </c>
      <c r="L103" s="16" t="str" cm="1">
        <f t="array" ref="L103">IFERROR(_xlfn.IFS(J103="Made",1,J103="Missed",0),"")</f>
        <v/>
      </c>
      <c r="M103" s="16" t="str">
        <f t="shared" si="6"/>
        <v/>
      </c>
      <c r="R103" s="16" t="str">
        <f t="shared" si="7"/>
        <v/>
      </c>
      <c r="S103" s="16" t="str" cm="1">
        <f t="array" ref="S103">IFERROR(_xlfn.IFS(I103="Offensive Rebound",1),"")</f>
        <v/>
      </c>
      <c r="T103" s="16" t="str" cm="1">
        <f t="array" ref="T103">IFERROR(_xlfn.IFS(I103="Defensive Rebound",1),"")</f>
        <v/>
      </c>
      <c r="U103" s="16" cm="1">
        <f t="array" ref="U103">IFERROR(_xlfn.IFS(I103="Assist",1),"")</f>
        <v>1</v>
      </c>
      <c r="V103" s="16" t="str" cm="1">
        <f t="array" ref="V103">IFERROR(_xlfn.IFS(I103="Turnover",1),"")</f>
        <v/>
      </c>
      <c r="W103" s="16" t="str" cm="1">
        <f t="array" ref="W103">IFERROR(_xlfn.IFS(I103="Steal",1),"")</f>
        <v/>
      </c>
      <c r="X103" s="16" t="str" cm="1">
        <f t="array" ref="X103">IFERROR(_xlfn.IFS(I103="Block",1),"")</f>
        <v/>
      </c>
      <c r="Y103" s="16" t="str" cm="1">
        <f t="array" ref="Y103">IFERROR(_xlfn.IFS(I103="Block Received",1),"")</f>
        <v/>
      </c>
      <c r="Z103" s="16" t="str" cm="1">
        <f t="array" ref="Z103">IFERROR(_xlfn.IFS(I103="Foul",1,I103="Foul Technical",1,I103="Offensive Foul",1),"")</f>
        <v/>
      </c>
      <c r="AA103" s="16" t="str" cm="1">
        <f t="array" ref="AA103">IFERROR(_xlfn.IFS(I103="Foul Received",1),"")</f>
        <v/>
      </c>
      <c r="AB103" s="49" t="str" cm="1">
        <f t="array" ref="AB103">IFERROR(_xlfn.IFS(I103="Starting lineup",C103,I103="Substitution - In",C103),"")</f>
        <v/>
      </c>
      <c r="AC103" s="46" t="str" cm="1">
        <f t="array" ref="AC103">IFERROR(_xlfn.IFS(I103="Finishing lineup",C103,I103="Substitution - Out",C103),"")</f>
        <v/>
      </c>
      <c r="AD103" s="46" t="str" cm="1">
        <f t="array" ref="AD103">IF(AC103&lt;&gt;"",LOOKUP(2,1/((G$2:G102=G103)*(AB$2:AB102&lt;&gt;"")),AB$2:AB102)-AC103,"")</f>
        <v/>
      </c>
      <c r="AE103" s="50" t="str" cm="1">
        <f t="array" ref="AE103">IF(AC103&lt;&gt;"",LOOKUP(2,1/((G$2:G102=G103)*(AB$2:AB102&lt;&gt;"")),AB$2:AB102)-AC103,"")</f>
        <v/>
      </c>
    </row>
    <row r="104" spans="1:31" hidden="1" x14ac:dyDescent="0.35">
      <c r="A104" s="19">
        <v>1</v>
      </c>
      <c r="B104" s="19">
        <v>103</v>
      </c>
      <c r="C104" s="46">
        <v>2.5925925925925925E-3</v>
      </c>
      <c r="D104" s="16">
        <f t="shared" si="4"/>
        <v>3</v>
      </c>
      <c r="E104" s="16">
        <f t="shared" si="5"/>
        <v>44</v>
      </c>
      <c r="F104" s="19" t="s">
        <v>46</v>
      </c>
      <c r="G104" s="16" t="s">
        <v>27</v>
      </c>
      <c r="H104" s="16" t="str">
        <f>_xlfn.XLOOKUP(G104,'1-Players'!$A$2:$A$27,'1-Players'!$D$2:$D$27,"")</f>
        <v>Kaodirichi Akobundu</v>
      </c>
      <c r="I104" s="19" t="s">
        <v>106</v>
      </c>
      <c r="J104" s="19" t="s">
        <v>118</v>
      </c>
      <c r="K104" s="16" t="str" cm="1">
        <f t="array" ref="K104">IFERROR(_xlfn.IFS(I104="Free Throw",1,I104="2-Point Shot",2,I104="Dunk",2,I104="3-Point Shot",3),"")</f>
        <v/>
      </c>
      <c r="L104" s="16" t="str" cm="1">
        <f t="array" ref="L104">IFERROR(_xlfn.IFS(J104="Made",1,J104="Missed",0),"")</f>
        <v/>
      </c>
      <c r="M104" s="16" t="str">
        <f t="shared" si="6"/>
        <v/>
      </c>
      <c r="R104" s="16" t="str">
        <f t="shared" si="7"/>
        <v/>
      </c>
      <c r="S104" s="16" t="str" cm="1">
        <f t="array" ref="S104">IFERROR(_xlfn.IFS(I104="Offensive Rebound",1),"")</f>
        <v/>
      </c>
      <c r="T104" s="16" t="str" cm="1">
        <f t="array" ref="T104">IFERROR(_xlfn.IFS(I104="Defensive Rebound",1),"")</f>
        <v/>
      </c>
      <c r="U104" s="16" t="str" cm="1">
        <f t="array" ref="U104">IFERROR(_xlfn.IFS(I104="Assist",1),"")</f>
        <v/>
      </c>
      <c r="V104" s="16" t="str" cm="1">
        <f t="array" ref="V104">IFERROR(_xlfn.IFS(I104="Turnover",1),"")</f>
        <v/>
      </c>
      <c r="W104" s="16" t="str" cm="1">
        <f t="array" ref="W104">IFERROR(_xlfn.IFS(I104="Steal",1),"")</f>
        <v/>
      </c>
      <c r="X104" s="16" t="str" cm="1">
        <f t="array" ref="X104">IFERROR(_xlfn.IFS(I104="Block",1),"")</f>
        <v/>
      </c>
      <c r="Y104" s="16" t="str" cm="1">
        <f t="array" ref="Y104">IFERROR(_xlfn.IFS(I104="Block Received",1),"")</f>
        <v/>
      </c>
      <c r="Z104" s="16" cm="1">
        <f t="array" ref="Z104">IFERROR(_xlfn.IFS(I104="Foul",1,I104="Foul Technical",1,I104="Offensive Foul",1),"")</f>
        <v>1</v>
      </c>
      <c r="AA104" s="16" t="str" cm="1">
        <f t="array" ref="AA104">IFERROR(_xlfn.IFS(I104="Foul Received",1),"")</f>
        <v/>
      </c>
      <c r="AB104" s="49" t="str" cm="1">
        <f t="array" ref="AB104">IFERROR(_xlfn.IFS(I104="Starting lineup",C104,I104="Substitution - In",C104),"")</f>
        <v/>
      </c>
      <c r="AC104" s="46" t="str" cm="1">
        <f t="array" ref="AC104">IFERROR(_xlfn.IFS(I104="Finishing lineup",C104,I104="Substitution - Out",C104),"")</f>
        <v/>
      </c>
      <c r="AD104" s="46" t="str" cm="1">
        <f t="array" ref="AD104">IF(AC104&lt;&gt;"",LOOKUP(2,1/((G$2:G103=G104)*(AB$2:AB103&lt;&gt;"")),AB$2:AB103)-AC104,"")</f>
        <v/>
      </c>
      <c r="AE104" s="50" t="str" cm="1">
        <f t="array" ref="AE104">IF(AC104&lt;&gt;"",LOOKUP(2,1/((G$2:G103=G104)*(AB$2:AB103&lt;&gt;"")),AB$2:AB103)-AC104,"")</f>
        <v/>
      </c>
    </row>
    <row r="105" spans="1:31" hidden="1" x14ac:dyDescent="0.35">
      <c r="A105" s="16">
        <v>1</v>
      </c>
      <c r="B105" s="19">
        <v>104</v>
      </c>
      <c r="C105" s="46">
        <v>2.5925925925925925E-3</v>
      </c>
      <c r="D105" s="16">
        <f t="shared" si="4"/>
        <v>3</v>
      </c>
      <c r="E105" s="16">
        <f t="shared" si="5"/>
        <v>44</v>
      </c>
      <c r="F105" s="19" t="s">
        <v>16</v>
      </c>
      <c r="G105" s="16" t="s">
        <v>45</v>
      </c>
      <c r="H105" s="16" t="str">
        <f>_xlfn.XLOOKUP(G105,'1-Players'!$A$2:$A$27,'1-Players'!$D$2:$D$27,"")</f>
        <v>Gyorgy Golomán</v>
      </c>
      <c r="I105" s="19" t="s">
        <v>108</v>
      </c>
      <c r="K105" s="16" t="str" cm="1">
        <f t="array" ref="K105">IFERROR(_xlfn.IFS(I105="Free Throw",1,I105="2-Point Shot",2,I105="Dunk",2,I105="3-Point Shot",3),"")</f>
        <v/>
      </c>
      <c r="L105" s="16" t="str" cm="1">
        <f t="array" ref="L105">IFERROR(_xlfn.IFS(J105="Made",1,J105="Missed",0),"")</f>
        <v/>
      </c>
      <c r="M105" s="16" t="str">
        <f t="shared" si="6"/>
        <v/>
      </c>
      <c r="R105" s="16" t="str">
        <f t="shared" si="7"/>
        <v/>
      </c>
      <c r="S105" s="16" t="str" cm="1">
        <f t="array" ref="S105">IFERROR(_xlfn.IFS(I105="Offensive Rebound",1),"")</f>
        <v/>
      </c>
      <c r="T105" s="16" t="str" cm="1">
        <f t="array" ref="T105">IFERROR(_xlfn.IFS(I105="Defensive Rebound",1),"")</f>
        <v/>
      </c>
      <c r="U105" s="16" t="str" cm="1">
        <f t="array" ref="U105">IFERROR(_xlfn.IFS(I105="Assist",1),"")</f>
        <v/>
      </c>
      <c r="V105" s="16" t="str" cm="1">
        <f t="array" ref="V105">IFERROR(_xlfn.IFS(I105="Turnover",1),"")</f>
        <v/>
      </c>
      <c r="W105" s="16" t="str" cm="1">
        <f t="array" ref="W105">IFERROR(_xlfn.IFS(I105="Steal",1),"")</f>
        <v/>
      </c>
      <c r="X105" s="16" t="str" cm="1">
        <f t="array" ref="X105">IFERROR(_xlfn.IFS(I105="Block",1),"")</f>
        <v/>
      </c>
      <c r="Y105" s="16" t="str" cm="1">
        <f t="array" ref="Y105">IFERROR(_xlfn.IFS(I105="Block Received",1),"")</f>
        <v/>
      </c>
      <c r="Z105" s="16" t="str" cm="1">
        <f t="array" ref="Z105">IFERROR(_xlfn.IFS(I105="Foul",1,I105="Foul Technical",1,I105="Offensive Foul",1),"")</f>
        <v/>
      </c>
      <c r="AA105" s="16" cm="1">
        <f t="array" ref="AA105">IFERROR(_xlfn.IFS(I105="Foul Received",1),"")</f>
        <v>1</v>
      </c>
      <c r="AB105" s="49" t="str" cm="1">
        <f t="array" ref="AB105">IFERROR(_xlfn.IFS(I105="Starting lineup",C105,I105="Substitution - In",C105),"")</f>
        <v/>
      </c>
      <c r="AC105" s="46" t="str" cm="1">
        <f t="array" ref="AC105">IFERROR(_xlfn.IFS(I105="Finishing lineup",C105,I105="Substitution - Out",C105),"")</f>
        <v/>
      </c>
      <c r="AD105" s="46" t="str" cm="1">
        <f t="array" ref="AD105">IF(AC105&lt;&gt;"",LOOKUP(2,1/((G$2:G104=G105)*(AB$2:AB104&lt;&gt;"")),AB$2:AB104)-AC105,"")</f>
        <v/>
      </c>
      <c r="AE105" s="50" t="str" cm="1">
        <f t="array" ref="AE105">IF(AC105&lt;&gt;"",LOOKUP(2,1/((G$2:G104=G105)*(AB$2:AB104&lt;&gt;"")),AB$2:AB104)-AC105,"")</f>
        <v/>
      </c>
    </row>
    <row r="106" spans="1:31" hidden="1" x14ac:dyDescent="0.35">
      <c r="A106" s="16">
        <v>1</v>
      </c>
      <c r="B106" s="19">
        <v>105</v>
      </c>
      <c r="C106" s="46">
        <v>2.5925925925925925E-3</v>
      </c>
      <c r="D106" s="16">
        <f t="shared" si="4"/>
        <v>3</v>
      </c>
      <c r="E106" s="16">
        <f t="shared" si="5"/>
        <v>44</v>
      </c>
      <c r="F106" s="19" t="s">
        <v>46</v>
      </c>
      <c r="G106" s="16" t="s">
        <v>120</v>
      </c>
      <c r="H106" s="16" t="str">
        <f>_xlfn.XLOOKUP(G106,'1-Players'!$A$2:$A$27,'1-Players'!$D$2:$D$27,"")</f>
        <v>TEAM - Manresa</v>
      </c>
      <c r="I106" s="19" t="s">
        <v>119</v>
      </c>
      <c r="J106" s="19"/>
      <c r="K106" s="16" t="str" cm="1">
        <f t="array" ref="K106">IFERROR(_xlfn.IFS(I106="Free Throw",1,I106="2-Point Shot",2,I106="Dunk",2,I106="3-Point Shot",3),"")</f>
        <v/>
      </c>
      <c r="L106" s="16" t="str" cm="1">
        <f t="array" ref="L106">IFERROR(_xlfn.IFS(J106="Made",1,J106="Missed",0),"")</f>
        <v/>
      </c>
      <c r="M106" s="16" t="str">
        <f t="shared" si="6"/>
        <v/>
      </c>
      <c r="R106" s="16" t="str">
        <f t="shared" si="7"/>
        <v/>
      </c>
      <c r="S106" s="16" t="str" cm="1">
        <f t="array" ref="S106">IFERROR(_xlfn.IFS(I106="Offensive Rebound",1),"")</f>
        <v/>
      </c>
      <c r="T106" s="16" t="str" cm="1">
        <f t="array" ref="T106">IFERROR(_xlfn.IFS(I106="Defensive Rebound",1),"")</f>
        <v/>
      </c>
      <c r="U106" s="16" t="str" cm="1">
        <f t="array" ref="U106">IFERROR(_xlfn.IFS(I106="Assist",1),"")</f>
        <v/>
      </c>
      <c r="V106" s="16" t="str" cm="1">
        <f t="array" ref="V106">IFERROR(_xlfn.IFS(I106="Turnover",1),"")</f>
        <v/>
      </c>
      <c r="W106" s="16" t="str" cm="1">
        <f t="array" ref="W106">IFERROR(_xlfn.IFS(I106="Steal",1),"")</f>
        <v/>
      </c>
      <c r="X106" s="16" t="str" cm="1">
        <f t="array" ref="X106">IFERROR(_xlfn.IFS(I106="Block",1),"")</f>
        <v/>
      </c>
      <c r="Y106" s="16" t="str" cm="1">
        <f t="array" ref="Y106">IFERROR(_xlfn.IFS(I106="Block Received",1),"")</f>
        <v/>
      </c>
      <c r="Z106" s="16" t="str" cm="1">
        <f t="array" ref="Z106">IFERROR(_xlfn.IFS(I106="Foul",1,I106="Foul Technical",1,I106="Offensive Foul",1),"")</f>
        <v/>
      </c>
      <c r="AA106" s="16" t="str" cm="1">
        <f t="array" ref="AA106">IFERROR(_xlfn.IFS(I106="Foul Received",1),"")</f>
        <v/>
      </c>
      <c r="AB106" s="49" t="str" cm="1">
        <f t="array" ref="AB106">IFERROR(_xlfn.IFS(I106="Starting lineup",C106,I106="Substitution - In",C106),"")</f>
        <v/>
      </c>
      <c r="AC106" s="46" t="str" cm="1">
        <f t="array" ref="AC106">IFERROR(_xlfn.IFS(I106="Finishing lineup",C106,I106="Substitution - Out",C106),"")</f>
        <v/>
      </c>
      <c r="AD106" s="46" t="str" cm="1">
        <f t="array" ref="AD106">IF(AC106&lt;&gt;"",LOOKUP(2,1/((G$2:G105=G106)*(AB$2:AB105&lt;&gt;"")),AB$2:AB105)-AC106,"")</f>
        <v/>
      </c>
      <c r="AE106" s="50" t="str" cm="1">
        <f t="array" ref="AE106">IF(AC106&lt;&gt;"",LOOKUP(2,1/((G$2:G105=G106)*(AB$2:AB105&lt;&gt;"")),AB$2:AB105)-AC106,"")</f>
        <v/>
      </c>
    </row>
    <row r="107" spans="1:31" hidden="1" x14ac:dyDescent="0.35">
      <c r="A107" s="19">
        <v>1</v>
      </c>
      <c r="B107" s="19">
        <v>106</v>
      </c>
      <c r="C107" s="46">
        <v>2.5925925925925925E-3</v>
      </c>
      <c r="D107" s="16">
        <f t="shared" si="4"/>
        <v>3</v>
      </c>
      <c r="E107" s="16">
        <f t="shared" si="5"/>
        <v>44</v>
      </c>
      <c r="F107" s="19" t="s">
        <v>46</v>
      </c>
      <c r="G107" s="16" t="s">
        <v>27</v>
      </c>
      <c r="H107" s="16" t="str">
        <f>_xlfn.XLOOKUP(G107,'1-Players'!$A$2:$A$27,'1-Players'!$D$2:$D$27,"")</f>
        <v>Kaodirichi Akobundu</v>
      </c>
      <c r="I107" s="19" t="s">
        <v>110</v>
      </c>
      <c r="K107" s="16" t="str" cm="1">
        <f t="array" ref="K107">IFERROR(_xlfn.IFS(I107="Free Throw",1,I107="2-Point Shot",2,I107="Dunk",2,I107="3-Point Shot",3),"")</f>
        <v/>
      </c>
      <c r="L107" s="16" t="str" cm="1">
        <f t="array" ref="L107">IFERROR(_xlfn.IFS(J107="Made",1,J107="Missed",0),"")</f>
        <v/>
      </c>
      <c r="M107" s="16" t="str">
        <f t="shared" si="6"/>
        <v/>
      </c>
      <c r="R107" s="16" t="str">
        <f t="shared" si="7"/>
        <v/>
      </c>
      <c r="S107" s="16" t="str" cm="1">
        <f t="array" ref="S107">IFERROR(_xlfn.IFS(I107="Offensive Rebound",1),"")</f>
        <v/>
      </c>
      <c r="T107" s="16" t="str" cm="1">
        <f t="array" ref="T107">IFERROR(_xlfn.IFS(I107="Defensive Rebound",1),"")</f>
        <v/>
      </c>
      <c r="U107" s="16" t="str" cm="1">
        <f t="array" ref="U107">IFERROR(_xlfn.IFS(I107="Assist",1),"")</f>
        <v/>
      </c>
      <c r="V107" s="16" t="str" cm="1">
        <f t="array" ref="V107">IFERROR(_xlfn.IFS(I107="Turnover",1),"")</f>
        <v/>
      </c>
      <c r="W107" s="16" t="str" cm="1">
        <f t="array" ref="W107">IFERROR(_xlfn.IFS(I107="Steal",1),"")</f>
        <v/>
      </c>
      <c r="X107" s="16" t="str" cm="1">
        <f t="array" ref="X107">IFERROR(_xlfn.IFS(I107="Block",1),"")</f>
        <v/>
      </c>
      <c r="Y107" s="16" t="str" cm="1">
        <f t="array" ref="Y107">IFERROR(_xlfn.IFS(I107="Block Received",1),"")</f>
        <v/>
      </c>
      <c r="Z107" s="16" t="str" cm="1">
        <f t="array" ref="Z107">IFERROR(_xlfn.IFS(I107="Foul",1,I107="Foul Technical",1,I107="Offensive Foul",1),"")</f>
        <v/>
      </c>
      <c r="AA107" s="16" t="str" cm="1">
        <f t="array" ref="AA107">IFERROR(_xlfn.IFS(I107="Foul Received",1),"")</f>
        <v/>
      </c>
      <c r="AB107" s="49" t="str" cm="1">
        <f t="array" ref="AB107">IFERROR(_xlfn.IFS(I107="Starting lineup",C107,I107="Substitution - In",C107),"")</f>
        <v/>
      </c>
      <c r="AC107" s="46" cm="1">
        <f t="array" ref="AC107">IFERROR(_xlfn.IFS(I107="Finishing lineup",C107,I107="Substitution - Out",C107),"")</f>
        <v>2.5925925925925925E-3</v>
      </c>
      <c r="AD107" s="46" cm="1">
        <f t="array" ref="AD107">IF(AC107&lt;&gt;"",LOOKUP(2,1/((G$2:G106=G107)*(AB$2:AB106&lt;&gt;"")),AB$2:AB106)-AC107,"")</f>
        <v>1.4004629629629627E-3</v>
      </c>
      <c r="AE107" s="50" cm="1">
        <f t="array" ref="AE107">IF(AC107&lt;&gt;"",LOOKUP(2,1/((G$2:G106=G107)*(AB$2:AB106&lt;&gt;"")),AB$2:AB106)-AC107,"")</f>
        <v>1.4004629629629627E-3</v>
      </c>
    </row>
    <row r="108" spans="1:31" hidden="1" x14ac:dyDescent="0.35">
      <c r="A108" s="16">
        <v>1</v>
      </c>
      <c r="B108" s="19">
        <v>107</v>
      </c>
      <c r="C108" s="46">
        <v>2.5925925925925925E-3</v>
      </c>
      <c r="D108" s="16">
        <f t="shared" si="4"/>
        <v>3</v>
      </c>
      <c r="E108" s="16">
        <f t="shared" si="5"/>
        <v>44</v>
      </c>
      <c r="F108" s="19" t="s">
        <v>46</v>
      </c>
      <c r="G108" s="16" t="s">
        <v>11</v>
      </c>
      <c r="H108" s="16" t="str">
        <f>_xlfn.XLOOKUP(G108,'1-Players'!$A$2:$A$27,'1-Players'!$D$2:$D$27,"")</f>
        <v>Marcis Steinbergs</v>
      </c>
      <c r="I108" s="19" t="s">
        <v>111</v>
      </c>
      <c r="K108" s="16" t="str" cm="1">
        <f t="array" ref="K108">IFERROR(_xlfn.IFS(I108="Free Throw",1,I108="2-Point Shot",2,I108="Dunk",2,I108="3-Point Shot",3),"")</f>
        <v/>
      </c>
      <c r="L108" s="16" t="str" cm="1">
        <f t="array" ref="L108">IFERROR(_xlfn.IFS(J108="Made",1,J108="Missed",0),"")</f>
        <v/>
      </c>
      <c r="M108" s="16" t="str">
        <f t="shared" si="6"/>
        <v/>
      </c>
      <c r="R108" s="16" t="str">
        <f t="shared" si="7"/>
        <v/>
      </c>
      <c r="S108" s="16" t="str" cm="1">
        <f t="array" ref="S108">IFERROR(_xlfn.IFS(I108="Offensive Rebound",1),"")</f>
        <v/>
      </c>
      <c r="T108" s="16" t="str" cm="1">
        <f t="array" ref="T108">IFERROR(_xlfn.IFS(I108="Defensive Rebound",1),"")</f>
        <v/>
      </c>
      <c r="U108" s="16" t="str" cm="1">
        <f t="array" ref="U108">IFERROR(_xlfn.IFS(I108="Assist",1),"")</f>
        <v/>
      </c>
      <c r="V108" s="16" t="str" cm="1">
        <f t="array" ref="V108">IFERROR(_xlfn.IFS(I108="Turnover",1),"")</f>
        <v/>
      </c>
      <c r="W108" s="16" t="str" cm="1">
        <f t="array" ref="W108">IFERROR(_xlfn.IFS(I108="Steal",1),"")</f>
        <v/>
      </c>
      <c r="X108" s="16" t="str" cm="1">
        <f t="array" ref="X108">IFERROR(_xlfn.IFS(I108="Block",1),"")</f>
        <v/>
      </c>
      <c r="Y108" s="16" t="str" cm="1">
        <f t="array" ref="Y108">IFERROR(_xlfn.IFS(I108="Block Received",1),"")</f>
        <v/>
      </c>
      <c r="Z108" s="16" t="str" cm="1">
        <f t="array" ref="Z108">IFERROR(_xlfn.IFS(I108="Foul",1,I108="Foul Technical",1,I108="Offensive Foul",1),"")</f>
        <v/>
      </c>
      <c r="AA108" s="16" t="str" cm="1">
        <f t="array" ref="AA108">IFERROR(_xlfn.IFS(I108="Foul Received",1),"")</f>
        <v/>
      </c>
      <c r="AB108" s="49" cm="1">
        <f t="array" ref="AB108">IFERROR(_xlfn.IFS(I108="Starting lineup",C108,I108="Substitution - In",C108),"")</f>
        <v>2.5925925925925925E-3</v>
      </c>
      <c r="AC108" s="46" t="str" cm="1">
        <f t="array" ref="AC108">IFERROR(_xlfn.IFS(I108="Finishing lineup",C108,I108="Substitution - Out",C108),"")</f>
        <v/>
      </c>
      <c r="AD108" s="46" t="str" cm="1">
        <f t="array" ref="AD108">IF(AC108&lt;&gt;"",LOOKUP(2,1/((G$2:G107=G108)*(AB$2:AB107&lt;&gt;"")),AB$2:AB107)-AC108,"")</f>
        <v/>
      </c>
      <c r="AE108" s="50" t="str" cm="1">
        <f t="array" ref="AE108">IF(AC108&lt;&gt;"",LOOKUP(2,1/((G$2:G107=G108)*(AB$2:AB107&lt;&gt;"")),AB$2:AB107)-AC108,"")</f>
        <v/>
      </c>
    </row>
    <row r="109" spans="1:31" hidden="1" x14ac:dyDescent="0.35">
      <c r="A109" s="16">
        <v>1</v>
      </c>
      <c r="B109" s="19">
        <v>108</v>
      </c>
      <c r="C109" s="46">
        <v>2.5925925925925925E-3</v>
      </c>
      <c r="D109" s="16">
        <f t="shared" si="4"/>
        <v>3</v>
      </c>
      <c r="E109" s="16">
        <f t="shared" si="5"/>
        <v>44</v>
      </c>
      <c r="F109" s="19" t="s">
        <v>16</v>
      </c>
      <c r="G109" s="16" t="s">
        <v>45</v>
      </c>
      <c r="H109" s="16" t="str">
        <f>_xlfn.XLOOKUP(G109,'1-Players'!$A$2:$A$27,'1-Players'!$D$2:$D$27,"")</f>
        <v>Gyorgy Golomán</v>
      </c>
      <c r="I109" s="19" t="s">
        <v>85</v>
      </c>
      <c r="J109" s="19" t="s">
        <v>60</v>
      </c>
      <c r="K109" s="16" cm="1">
        <f t="array" ref="K109">IFERROR(_xlfn.IFS(I109="Free Throw",1,I109="2-Point Shot",2,I109="Dunk",2,I109="3-Point Shot",3),"")</f>
        <v>1</v>
      </c>
      <c r="L109" s="16" cm="1">
        <f t="array" ref="L109">IFERROR(_xlfn.IFS(J109="Made",1,J109="Missed",0),"")</f>
        <v>1</v>
      </c>
      <c r="M109" s="16">
        <f t="shared" si="6"/>
        <v>1</v>
      </c>
      <c r="R109" s="16" t="str">
        <f t="shared" si="7"/>
        <v>N</v>
      </c>
      <c r="S109" s="16" t="str" cm="1">
        <f t="array" ref="S109">IFERROR(_xlfn.IFS(I109="Offensive Rebound",1),"")</f>
        <v/>
      </c>
      <c r="T109" s="16" t="str" cm="1">
        <f t="array" ref="T109">IFERROR(_xlfn.IFS(I109="Defensive Rebound",1),"")</f>
        <v/>
      </c>
      <c r="U109" s="16" t="str" cm="1">
        <f t="array" ref="U109">IFERROR(_xlfn.IFS(I109="Assist",1),"")</f>
        <v/>
      </c>
      <c r="V109" s="16" t="str" cm="1">
        <f t="array" ref="V109">IFERROR(_xlfn.IFS(I109="Turnover",1),"")</f>
        <v/>
      </c>
      <c r="W109" s="16" t="str" cm="1">
        <f t="array" ref="W109">IFERROR(_xlfn.IFS(I109="Steal",1),"")</f>
        <v/>
      </c>
      <c r="X109" s="16" t="str" cm="1">
        <f t="array" ref="X109">IFERROR(_xlfn.IFS(I109="Block",1),"")</f>
        <v/>
      </c>
      <c r="Y109" s="16" t="str" cm="1">
        <f t="array" ref="Y109">IFERROR(_xlfn.IFS(I109="Block Received",1),"")</f>
        <v/>
      </c>
      <c r="Z109" s="16" t="str" cm="1">
        <f t="array" ref="Z109">IFERROR(_xlfn.IFS(I109="Foul",1,I109="Foul Technical",1,I109="Offensive Foul",1),"")</f>
        <v/>
      </c>
      <c r="AA109" s="16" t="str" cm="1">
        <f t="array" ref="AA109">IFERROR(_xlfn.IFS(I109="Foul Received",1),"")</f>
        <v/>
      </c>
      <c r="AB109" s="49" t="str" cm="1">
        <f t="array" ref="AB109">IFERROR(_xlfn.IFS(I109="Starting lineup",C109,I109="Substitution - In",C109),"")</f>
        <v/>
      </c>
      <c r="AC109" s="46" t="str" cm="1">
        <f t="array" ref="AC109">IFERROR(_xlfn.IFS(I109="Finishing lineup",C109,I109="Substitution - Out",C109),"")</f>
        <v/>
      </c>
      <c r="AD109" s="46" t="str" cm="1">
        <f t="array" ref="AD109">IF(AC109&lt;&gt;"",LOOKUP(2,1/((G$2:G108=G109)*(AB$2:AB108&lt;&gt;"")),AB$2:AB108)-AC109,"")</f>
        <v/>
      </c>
      <c r="AE109" s="50" t="str" cm="1">
        <f t="array" ref="AE109">IF(AC109&lt;&gt;"",LOOKUP(2,1/((G$2:G108=G109)*(AB$2:AB108&lt;&gt;"")),AB$2:AB108)-AC109,"")</f>
        <v/>
      </c>
    </row>
    <row r="110" spans="1:31" hidden="1" x14ac:dyDescent="0.35">
      <c r="A110" s="19">
        <v>1</v>
      </c>
      <c r="B110" s="19">
        <v>109</v>
      </c>
      <c r="C110" s="46">
        <v>2.4305555555555556E-3</v>
      </c>
      <c r="D110" s="16">
        <f>MINUTE(C110)</f>
        <v>3</v>
      </c>
      <c r="E110" s="16">
        <f t="shared" si="5"/>
        <v>30</v>
      </c>
      <c r="F110" s="19" t="s">
        <v>99</v>
      </c>
      <c r="G110" s="16" t="s">
        <v>68</v>
      </c>
      <c r="H110" s="16" t="str">
        <f>_xlfn.XLOOKUP(G110,'1-Players'!$A$2:$A$27,'1-Players'!$D$2:$D$27,"")</f>
        <v>Dani Pérez</v>
      </c>
      <c r="I110" s="19" t="s">
        <v>83</v>
      </c>
      <c r="J110" s="19" t="s">
        <v>63</v>
      </c>
      <c r="K110" s="16" cm="1">
        <f t="array" ref="K110">IFERROR(_xlfn.IFS(I110="Free Throw",1,I110="2-Point Shot",2,I110="Dunk",2,I110="3-Point Shot",3),"")</f>
        <v>3</v>
      </c>
      <c r="L110" s="16" cm="1">
        <f t="array" ref="L110">IFERROR(_xlfn.IFS(J110="Made",1,J110="Missed",0),"")</f>
        <v>0</v>
      </c>
      <c r="M110" s="16">
        <f t="shared" si="6"/>
        <v>0</v>
      </c>
      <c r="N110" s="16" t="s">
        <v>186</v>
      </c>
      <c r="O110" s="16" t="s">
        <v>190</v>
      </c>
      <c r="P110" s="16">
        <v>12</v>
      </c>
      <c r="Q110" s="16" t="s">
        <v>125</v>
      </c>
      <c r="R110" s="16" t="str">
        <f t="shared" si="7"/>
        <v/>
      </c>
      <c r="S110" s="16" t="str" cm="1">
        <f t="array" ref="S110">IFERROR(_xlfn.IFS(I110="Offensive Rebound",1),"")</f>
        <v/>
      </c>
      <c r="T110" s="16" t="str" cm="1">
        <f t="array" ref="T110">IFERROR(_xlfn.IFS(I110="Defensive Rebound",1),"")</f>
        <v/>
      </c>
      <c r="U110" s="16" t="str" cm="1">
        <f t="array" ref="U110">IFERROR(_xlfn.IFS(I110="Assist",1),"")</f>
        <v/>
      </c>
      <c r="V110" s="16" t="str" cm="1">
        <f t="array" ref="V110">IFERROR(_xlfn.IFS(I110="Turnover",1),"")</f>
        <v/>
      </c>
      <c r="W110" s="16" t="str" cm="1">
        <f t="array" ref="W110">IFERROR(_xlfn.IFS(I110="Steal",1),"")</f>
        <v/>
      </c>
      <c r="X110" s="16" t="str" cm="1">
        <f t="array" ref="X110">IFERROR(_xlfn.IFS(I110="Block",1),"")</f>
        <v/>
      </c>
      <c r="Y110" s="16" t="str" cm="1">
        <f t="array" ref="Y110">IFERROR(_xlfn.IFS(I110="Block Received",1),"")</f>
        <v/>
      </c>
      <c r="Z110" s="16" t="str" cm="1">
        <f t="array" ref="Z110">IFERROR(_xlfn.IFS(I110="Foul",1,I110="Foul Technical",1,I110="Offensive Foul",1),"")</f>
        <v/>
      </c>
      <c r="AA110" s="16" t="str" cm="1">
        <f t="array" ref="AA110">IFERROR(_xlfn.IFS(I110="Foul Received",1),"")</f>
        <v/>
      </c>
      <c r="AB110" s="49" t="str" cm="1">
        <f t="array" ref="AB110">IFERROR(_xlfn.IFS(I110="Starting lineup",C110,I110="Substitution - In",C110),"")</f>
        <v/>
      </c>
      <c r="AC110" s="46" t="str" cm="1">
        <f t="array" ref="AC110">IFERROR(_xlfn.IFS(I110="Finishing lineup",C110,I110="Substitution - Out",C110),"")</f>
        <v/>
      </c>
      <c r="AD110" s="46" t="str" cm="1">
        <f t="array" ref="AD110">IF(AC110&lt;&gt;"",LOOKUP(2,1/((G$2:G109=G110)*(AB$2:AB109&lt;&gt;"")),AB$2:AB109)-AC110,"")</f>
        <v/>
      </c>
      <c r="AE110" s="50" t="str" cm="1">
        <f t="array" ref="AE110">IF(AC110&lt;&gt;"",LOOKUP(2,1/((G$2:G109=G110)*(AB$2:AB109&lt;&gt;"")),AB$2:AB109)-AC110,"")</f>
        <v/>
      </c>
    </row>
    <row r="111" spans="1:31" hidden="1" x14ac:dyDescent="0.35">
      <c r="A111" s="16">
        <v>1</v>
      </c>
      <c r="B111" s="19">
        <v>110</v>
      </c>
      <c r="C111" s="46">
        <v>2.4305555555555556E-3</v>
      </c>
      <c r="D111" s="16">
        <f t="shared" si="4"/>
        <v>3</v>
      </c>
      <c r="E111" s="16">
        <f t="shared" si="5"/>
        <v>30</v>
      </c>
      <c r="F111" s="19" t="s">
        <v>99</v>
      </c>
      <c r="G111" s="16" t="s">
        <v>68</v>
      </c>
      <c r="H111" s="16" t="str">
        <f>_xlfn.XLOOKUP(G111,'1-Players'!$A$2:$A$27,'1-Players'!$D$2:$D$27,"")</f>
        <v>Dani Pérez</v>
      </c>
      <c r="I111" s="19" t="s">
        <v>109</v>
      </c>
      <c r="K111" s="16" t="str" cm="1">
        <f t="array" ref="K111">IFERROR(_xlfn.IFS(I111="Free Throw",1,I111="2-Point Shot",2,I111="Dunk",2,I111="3-Point Shot",3),"")</f>
        <v/>
      </c>
      <c r="L111" s="16" t="str" cm="1">
        <f t="array" ref="L111">IFERROR(_xlfn.IFS(J111="Made",1,J111="Missed",0),"")</f>
        <v/>
      </c>
      <c r="M111" s="16" t="str">
        <f t="shared" si="6"/>
        <v/>
      </c>
      <c r="R111" s="16" t="str">
        <f t="shared" si="7"/>
        <v/>
      </c>
      <c r="S111" s="16" cm="1">
        <f t="array" ref="S111">IFERROR(_xlfn.IFS(I111="Offensive Rebound",1),"")</f>
        <v>1</v>
      </c>
      <c r="T111" s="16" t="str" cm="1">
        <f t="array" ref="T111">IFERROR(_xlfn.IFS(I111="Defensive Rebound",1),"")</f>
        <v/>
      </c>
      <c r="U111" s="16" t="str" cm="1">
        <f t="array" ref="U111">IFERROR(_xlfn.IFS(I111="Assist",1),"")</f>
        <v/>
      </c>
      <c r="V111" s="16" t="str" cm="1">
        <f t="array" ref="V111">IFERROR(_xlfn.IFS(I111="Turnover",1),"")</f>
        <v/>
      </c>
      <c r="W111" s="16" t="str" cm="1">
        <f t="array" ref="W111">IFERROR(_xlfn.IFS(I111="Steal",1),"")</f>
        <v/>
      </c>
      <c r="X111" s="16" t="str" cm="1">
        <f t="array" ref="X111">IFERROR(_xlfn.IFS(I111="Block",1),"")</f>
        <v/>
      </c>
      <c r="Y111" s="16" t="str" cm="1">
        <f t="array" ref="Y111">IFERROR(_xlfn.IFS(I111="Block Received",1),"")</f>
        <v/>
      </c>
      <c r="Z111" s="16" t="str" cm="1">
        <f t="array" ref="Z111">IFERROR(_xlfn.IFS(I111="Foul",1,I111="Foul Technical",1,I111="Offensive Foul",1),"")</f>
        <v/>
      </c>
      <c r="AA111" s="16" t="str" cm="1">
        <f t="array" ref="AA111">IFERROR(_xlfn.IFS(I111="Foul Received",1),"")</f>
        <v/>
      </c>
      <c r="AB111" s="49" t="str" cm="1">
        <f t="array" ref="AB111">IFERROR(_xlfn.IFS(I111="Starting lineup",C111,I111="Substitution - In",C111),"")</f>
        <v/>
      </c>
      <c r="AC111" s="46" t="str" cm="1">
        <f t="array" ref="AC111">IFERROR(_xlfn.IFS(I111="Finishing lineup",C111,I111="Substitution - Out",C111),"")</f>
        <v/>
      </c>
      <c r="AD111" s="46" t="str" cm="1">
        <f t="array" ref="AD111">IF(AC111&lt;&gt;"",LOOKUP(2,1/((G$2:G110=G111)*(AB$2:AB110&lt;&gt;"")),AB$2:AB110)-AC111,"")</f>
        <v/>
      </c>
      <c r="AE111" s="50" t="str" cm="1">
        <f t="array" ref="AE111">IF(AC111&lt;&gt;"",LOOKUP(2,1/((G$2:G110=G111)*(AB$2:AB110&lt;&gt;"")),AB$2:AB110)-AC111,"")</f>
        <v/>
      </c>
    </row>
    <row r="112" spans="1:31" hidden="1" x14ac:dyDescent="0.35">
      <c r="A112" s="16">
        <v>1</v>
      </c>
      <c r="B112" s="19">
        <v>111</v>
      </c>
      <c r="C112" s="46">
        <v>2.3379629629629631E-3</v>
      </c>
      <c r="D112" s="16">
        <f t="shared" si="4"/>
        <v>3</v>
      </c>
      <c r="E112" s="16">
        <f t="shared" si="5"/>
        <v>22</v>
      </c>
      <c r="F112" s="19" t="s">
        <v>99</v>
      </c>
      <c r="G112" s="16" t="s">
        <v>11</v>
      </c>
      <c r="H112" s="16" t="str">
        <f>_xlfn.XLOOKUP(G112,'1-Players'!$A$2:$A$27,'1-Players'!$D$2:$D$27,"")</f>
        <v>Marcis Steinbergs</v>
      </c>
      <c r="I112" s="19" t="s">
        <v>83</v>
      </c>
      <c r="J112" s="19" t="s">
        <v>63</v>
      </c>
      <c r="K112" s="16" cm="1">
        <f t="array" ref="K112">IFERROR(_xlfn.IFS(I112="Free Throw",1,I112="2-Point Shot",2,I112="Dunk",2,I112="3-Point Shot",3),"")</f>
        <v>3</v>
      </c>
      <c r="L112" s="16" cm="1">
        <f t="array" ref="L112">IFERROR(_xlfn.IFS(J112="Made",1,J112="Missed",0),"")</f>
        <v>0</v>
      </c>
      <c r="M112" s="16">
        <f t="shared" si="6"/>
        <v>0</v>
      </c>
      <c r="N112" s="16" t="s">
        <v>180</v>
      </c>
      <c r="O112" s="16" t="s">
        <v>190</v>
      </c>
      <c r="P112" s="16">
        <v>9</v>
      </c>
      <c r="Q112" s="16" t="s">
        <v>125</v>
      </c>
      <c r="R112" s="16" t="str">
        <f t="shared" si="7"/>
        <v/>
      </c>
      <c r="S112" s="16" t="str" cm="1">
        <f t="array" ref="S112">IFERROR(_xlfn.IFS(I112="Offensive Rebound",1),"")</f>
        <v/>
      </c>
      <c r="T112" s="16" t="str" cm="1">
        <f t="array" ref="T112">IFERROR(_xlfn.IFS(I112="Defensive Rebound",1),"")</f>
        <v/>
      </c>
      <c r="U112" s="16" t="str" cm="1">
        <f t="array" ref="U112">IFERROR(_xlfn.IFS(I112="Assist",1),"")</f>
        <v/>
      </c>
      <c r="V112" s="16" t="str" cm="1">
        <f t="array" ref="V112">IFERROR(_xlfn.IFS(I112="Turnover",1),"")</f>
        <v/>
      </c>
      <c r="W112" s="16" t="str" cm="1">
        <f t="array" ref="W112">IFERROR(_xlfn.IFS(I112="Steal",1),"")</f>
        <v/>
      </c>
      <c r="X112" s="16" t="str" cm="1">
        <f t="array" ref="X112">IFERROR(_xlfn.IFS(I112="Block",1),"")</f>
        <v/>
      </c>
      <c r="Y112" s="16" t="str" cm="1">
        <f t="array" ref="Y112">IFERROR(_xlfn.IFS(I112="Block Received",1),"")</f>
        <v/>
      </c>
      <c r="Z112" s="16" t="str" cm="1">
        <f t="array" ref="Z112">IFERROR(_xlfn.IFS(I112="Foul",1,I112="Foul Technical",1,I112="Offensive Foul",1),"")</f>
        <v/>
      </c>
      <c r="AA112" s="16" t="str" cm="1">
        <f t="array" ref="AA112">IFERROR(_xlfn.IFS(I112="Foul Received",1),"")</f>
        <v/>
      </c>
      <c r="AB112" s="49" t="str" cm="1">
        <f t="array" ref="AB112">IFERROR(_xlfn.IFS(I112="Starting lineup",C112,I112="Substitution - In",C112),"")</f>
        <v/>
      </c>
      <c r="AC112" s="46" t="str" cm="1">
        <f t="array" ref="AC112">IFERROR(_xlfn.IFS(I112="Finishing lineup",C112,I112="Substitution - Out",C112),"")</f>
        <v/>
      </c>
      <c r="AD112" s="46" t="str" cm="1">
        <f t="array" ref="AD112">IF(AC112&lt;&gt;"",LOOKUP(2,1/((G$2:G111=G112)*(AB$2:AB111&lt;&gt;"")),AB$2:AB111)-AC112,"")</f>
        <v/>
      </c>
      <c r="AE112" s="50" t="str" cm="1">
        <f t="array" ref="AE112">IF(AC112&lt;&gt;"",LOOKUP(2,1/((G$2:G111=G112)*(AB$2:AB111&lt;&gt;"")),AB$2:AB111)-AC112,"")</f>
        <v/>
      </c>
    </row>
    <row r="113" spans="1:31" hidden="1" x14ac:dyDescent="0.35">
      <c r="A113" s="19">
        <v>1</v>
      </c>
      <c r="B113" s="19">
        <v>112</v>
      </c>
      <c r="C113" s="46">
        <v>2.3379629629629631E-3</v>
      </c>
      <c r="D113" s="16">
        <f t="shared" si="4"/>
        <v>3</v>
      </c>
      <c r="E113" s="16">
        <f t="shared" si="5"/>
        <v>22</v>
      </c>
      <c r="F113" s="19" t="s">
        <v>99</v>
      </c>
      <c r="G113" s="16" t="s">
        <v>69</v>
      </c>
      <c r="H113" s="16" t="str">
        <f>_xlfn.XLOOKUP(G113,'1-Players'!$A$2:$A$27,'1-Players'!$D$2:$D$27,"")</f>
        <v>Alfonso Plummer</v>
      </c>
      <c r="I113" s="19" t="s">
        <v>109</v>
      </c>
      <c r="K113" s="16" t="str" cm="1">
        <f t="array" ref="K113">IFERROR(_xlfn.IFS(I113="Free Throw",1,I113="2-Point Shot",2,I113="Dunk",2,I113="3-Point Shot",3),"")</f>
        <v/>
      </c>
      <c r="L113" s="16" t="str" cm="1">
        <f t="array" ref="L113">IFERROR(_xlfn.IFS(J113="Made",1,J113="Missed",0),"")</f>
        <v/>
      </c>
      <c r="M113" s="16" t="str">
        <f t="shared" si="6"/>
        <v/>
      </c>
      <c r="R113" s="16" t="str">
        <f t="shared" si="7"/>
        <v/>
      </c>
      <c r="S113" s="16" cm="1">
        <f t="array" ref="S113">IFERROR(_xlfn.IFS(I113="Offensive Rebound",1),"")</f>
        <v>1</v>
      </c>
      <c r="T113" s="16" t="str" cm="1">
        <f t="array" ref="T113">IFERROR(_xlfn.IFS(I113="Defensive Rebound",1),"")</f>
        <v/>
      </c>
      <c r="U113" s="16" t="str" cm="1">
        <f t="array" ref="U113">IFERROR(_xlfn.IFS(I113="Assist",1),"")</f>
        <v/>
      </c>
      <c r="V113" s="16" t="str" cm="1">
        <f t="array" ref="V113">IFERROR(_xlfn.IFS(I113="Turnover",1),"")</f>
        <v/>
      </c>
      <c r="W113" s="16" t="str" cm="1">
        <f t="array" ref="W113">IFERROR(_xlfn.IFS(I113="Steal",1),"")</f>
        <v/>
      </c>
      <c r="X113" s="16" t="str" cm="1">
        <f t="array" ref="X113">IFERROR(_xlfn.IFS(I113="Block",1),"")</f>
        <v/>
      </c>
      <c r="Y113" s="16" t="str" cm="1">
        <f t="array" ref="Y113">IFERROR(_xlfn.IFS(I113="Block Received",1),"")</f>
        <v/>
      </c>
      <c r="Z113" s="16" t="str" cm="1">
        <f t="array" ref="Z113">IFERROR(_xlfn.IFS(I113="Foul",1,I113="Foul Technical",1,I113="Offensive Foul",1),"")</f>
        <v/>
      </c>
      <c r="AA113" s="16" t="str" cm="1">
        <f t="array" ref="AA113">IFERROR(_xlfn.IFS(I113="Foul Received",1),"")</f>
        <v/>
      </c>
      <c r="AB113" s="49" t="str" cm="1">
        <f t="array" ref="AB113">IFERROR(_xlfn.IFS(I113="Starting lineup",C113,I113="Substitution - In",C113),"")</f>
        <v/>
      </c>
      <c r="AC113" s="46" t="str" cm="1">
        <f t="array" ref="AC113">IFERROR(_xlfn.IFS(I113="Finishing lineup",C113,I113="Substitution - Out",C113),"")</f>
        <v/>
      </c>
      <c r="AD113" s="46" t="str" cm="1">
        <f t="array" ref="AD113">IF(AC113&lt;&gt;"",LOOKUP(2,1/((G$2:G112=G113)*(AB$2:AB112&lt;&gt;"")),AB$2:AB112)-AC113,"")</f>
        <v/>
      </c>
      <c r="AE113" s="50" t="str" cm="1">
        <f t="array" ref="AE113">IF(AC113&lt;&gt;"",LOOKUP(2,1/((G$2:G112=G113)*(AB$2:AB112&lt;&gt;"")),AB$2:AB112)-AC113,"")</f>
        <v/>
      </c>
    </row>
    <row r="114" spans="1:31" hidden="1" x14ac:dyDescent="0.35">
      <c r="A114" s="16">
        <v>1</v>
      </c>
      <c r="B114" s="19">
        <v>113</v>
      </c>
      <c r="C114" s="46">
        <v>2.3148148148148147E-3</v>
      </c>
      <c r="D114" s="16">
        <f t="shared" si="4"/>
        <v>3</v>
      </c>
      <c r="E114" s="16">
        <f t="shared" si="5"/>
        <v>20</v>
      </c>
      <c r="F114" s="19" t="s">
        <v>16</v>
      </c>
      <c r="G114" s="16" t="s">
        <v>18</v>
      </c>
      <c r="H114" s="16" t="str">
        <f>_xlfn.XLOOKUP(G114,'1-Players'!$A$2:$A$27,'1-Players'!$D$2:$D$27,"")</f>
        <v>Corey Walden</v>
      </c>
      <c r="I114" s="19" t="s">
        <v>106</v>
      </c>
      <c r="J114" s="19" t="s">
        <v>116</v>
      </c>
      <c r="K114" s="16" t="str" cm="1">
        <f t="array" ref="K114">IFERROR(_xlfn.IFS(I114="Free Throw",1,I114="2-Point Shot",2,I114="Dunk",2,I114="3-Point Shot",3),"")</f>
        <v/>
      </c>
      <c r="L114" s="16" t="str" cm="1">
        <f t="array" ref="L114">IFERROR(_xlfn.IFS(J114="Made",1,J114="Missed",0),"")</f>
        <v/>
      </c>
      <c r="M114" s="16" t="str">
        <f t="shared" si="6"/>
        <v/>
      </c>
      <c r="R114" s="16" t="str">
        <f t="shared" si="7"/>
        <v/>
      </c>
      <c r="S114" s="16" t="str" cm="1">
        <f t="array" ref="S114">IFERROR(_xlfn.IFS(I114="Offensive Rebound",1),"")</f>
        <v/>
      </c>
      <c r="T114" s="16" t="str" cm="1">
        <f t="array" ref="T114">IFERROR(_xlfn.IFS(I114="Defensive Rebound",1),"")</f>
        <v/>
      </c>
      <c r="U114" s="16" t="str" cm="1">
        <f t="array" ref="U114">IFERROR(_xlfn.IFS(I114="Assist",1),"")</f>
        <v/>
      </c>
      <c r="V114" s="16" t="str" cm="1">
        <f t="array" ref="V114">IFERROR(_xlfn.IFS(I114="Turnover",1),"")</f>
        <v/>
      </c>
      <c r="W114" s="16" t="str" cm="1">
        <f t="array" ref="W114">IFERROR(_xlfn.IFS(I114="Steal",1),"")</f>
        <v/>
      </c>
      <c r="X114" s="16" t="str" cm="1">
        <f t="array" ref="X114">IFERROR(_xlfn.IFS(I114="Block",1),"")</f>
        <v/>
      </c>
      <c r="Y114" s="16" t="str" cm="1">
        <f t="array" ref="Y114">IFERROR(_xlfn.IFS(I114="Block Received",1),"")</f>
        <v/>
      </c>
      <c r="Z114" s="16" cm="1">
        <f t="array" ref="Z114">IFERROR(_xlfn.IFS(I114="Foul",1,I114="Foul Technical",1,I114="Offensive Foul",1),"")</f>
        <v>1</v>
      </c>
      <c r="AA114" s="16" t="str" cm="1">
        <f t="array" ref="AA114">IFERROR(_xlfn.IFS(I114="Foul Received",1),"")</f>
        <v/>
      </c>
      <c r="AB114" s="49" t="str" cm="1">
        <f t="array" ref="AB114">IFERROR(_xlfn.IFS(I114="Starting lineup",C114,I114="Substitution - In",C114),"")</f>
        <v/>
      </c>
      <c r="AC114" s="46" t="str" cm="1">
        <f t="array" ref="AC114">IFERROR(_xlfn.IFS(I114="Finishing lineup",C114,I114="Substitution - Out",C114),"")</f>
        <v/>
      </c>
      <c r="AD114" s="46" t="str" cm="1">
        <f t="array" ref="AD114">IF(AC114&lt;&gt;"",LOOKUP(2,1/((G$2:G113=G114)*(AB$2:AB113&lt;&gt;"")),AB$2:AB113)-AC114,"")</f>
        <v/>
      </c>
      <c r="AE114" s="50" t="str" cm="1">
        <f t="array" ref="AE114">IF(AC114&lt;&gt;"",LOOKUP(2,1/((G$2:G113=G114)*(AB$2:AB113&lt;&gt;"")),AB$2:AB113)-AC114,"")</f>
        <v/>
      </c>
    </row>
    <row r="115" spans="1:31" hidden="1" x14ac:dyDescent="0.35">
      <c r="A115" s="16">
        <v>1</v>
      </c>
      <c r="B115" s="19">
        <v>114</v>
      </c>
      <c r="C115" s="46">
        <v>2.3148148148148147E-3</v>
      </c>
      <c r="D115" s="16">
        <f t="shared" si="4"/>
        <v>3</v>
      </c>
      <c r="E115" s="16">
        <f t="shared" ref="E115" si="10">SECOND(C115)</f>
        <v>20</v>
      </c>
      <c r="F115" s="19" t="s">
        <v>99</v>
      </c>
      <c r="G115" s="16" t="s">
        <v>69</v>
      </c>
      <c r="H115" s="16" t="str">
        <f>_xlfn.XLOOKUP(G115,'1-Players'!$A$2:$A$27,'1-Players'!$D$2:$D$27,"")</f>
        <v>Alfonso Plummer</v>
      </c>
      <c r="I115" s="19" t="s">
        <v>108</v>
      </c>
      <c r="K115" s="16" t="str" cm="1">
        <f t="array" ref="K115">IFERROR(_xlfn.IFS(I115="Free Throw",1,I115="2-Point Shot",2,I115="Dunk",2,I115="3-Point Shot",3),"")</f>
        <v/>
      </c>
      <c r="L115" s="16" t="str" cm="1">
        <f t="array" ref="L115">IFERROR(_xlfn.IFS(J115="Made",1,J115="Missed",0),"")</f>
        <v/>
      </c>
      <c r="M115" s="16" t="str">
        <f t="shared" si="6"/>
        <v/>
      </c>
      <c r="R115" s="16" t="str">
        <f t="shared" si="7"/>
        <v/>
      </c>
      <c r="S115" s="16" t="str" cm="1">
        <f t="array" ref="S115">IFERROR(_xlfn.IFS(I115="Offensive Rebound",1),"")</f>
        <v/>
      </c>
      <c r="T115" s="16" t="str" cm="1">
        <f t="array" ref="T115">IFERROR(_xlfn.IFS(I115="Defensive Rebound",1),"")</f>
        <v/>
      </c>
      <c r="U115" s="16" t="str" cm="1">
        <f t="array" ref="U115">IFERROR(_xlfn.IFS(I115="Assist",1),"")</f>
        <v/>
      </c>
      <c r="V115" s="16" t="str" cm="1">
        <f t="array" ref="V115">IFERROR(_xlfn.IFS(I115="Turnover",1),"")</f>
        <v/>
      </c>
      <c r="W115" s="16" t="str" cm="1">
        <f t="array" ref="W115">IFERROR(_xlfn.IFS(I115="Steal",1),"")</f>
        <v/>
      </c>
      <c r="X115" s="16" t="str" cm="1">
        <f t="array" ref="X115">IFERROR(_xlfn.IFS(I115="Block",1),"")</f>
        <v/>
      </c>
      <c r="Y115" s="16" t="str" cm="1">
        <f t="array" ref="Y115">IFERROR(_xlfn.IFS(I115="Block Received",1),"")</f>
        <v/>
      </c>
      <c r="Z115" s="16" t="str" cm="1">
        <f t="array" ref="Z115">IFERROR(_xlfn.IFS(I115="Foul",1,I115="Foul Technical",1,I115="Offensive Foul",1),"")</f>
        <v/>
      </c>
      <c r="AA115" s="16" cm="1">
        <f t="array" ref="AA115">IFERROR(_xlfn.IFS(I115="Foul Received",1),"")</f>
        <v>1</v>
      </c>
      <c r="AB115" s="49" t="str" cm="1">
        <f t="array" ref="AB115">IFERROR(_xlfn.IFS(I115="Starting lineup",C115,I115="Substitution - In",C115),"")</f>
        <v/>
      </c>
      <c r="AC115" s="46" t="str" cm="1">
        <f t="array" ref="AC115">IFERROR(_xlfn.IFS(I115="Finishing lineup",C115,I115="Substitution - Out",C115),"")</f>
        <v/>
      </c>
      <c r="AD115" s="46" t="str" cm="1">
        <f t="array" ref="AD115">IF(AC115&lt;&gt;"",LOOKUP(2,1/((G$2:G114=G115)*(AB$2:AB114&lt;&gt;"")),AB$2:AB114)-AC115,"")</f>
        <v/>
      </c>
      <c r="AE115" s="50" t="str" cm="1">
        <f t="array" ref="AE115">IF(AC115&lt;&gt;"",LOOKUP(2,1/((G$2:G114=G115)*(AB$2:AB114&lt;&gt;"")),AB$2:AB114)-AC115,"")</f>
        <v/>
      </c>
    </row>
    <row r="116" spans="1:31" hidden="1" x14ac:dyDescent="0.35">
      <c r="A116" s="19">
        <v>1</v>
      </c>
      <c r="B116" s="19">
        <v>115</v>
      </c>
      <c r="C116" s="46">
        <v>2.3148148148148147E-3</v>
      </c>
      <c r="D116" s="16">
        <f t="shared" si="4"/>
        <v>3</v>
      </c>
      <c r="E116" s="16">
        <f t="shared" si="5"/>
        <v>20</v>
      </c>
      <c r="F116" s="19" t="s">
        <v>99</v>
      </c>
      <c r="G116" s="16" t="s">
        <v>69</v>
      </c>
      <c r="H116" s="16" t="str">
        <f>_xlfn.XLOOKUP(G116,'1-Players'!$A$2:$A$27,'1-Players'!$D$2:$D$27,"")</f>
        <v>Alfonso Plummer</v>
      </c>
      <c r="I116" s="19" t="s">
        <v>85</v>
      </c>
      <c r="J116" s="19" t="s">
        <v>60</v>
      </c>
      <c r="K116" s="16" cm="1">
        <f t="array" ref="K116">IFERROR(_xlfn.IFS(I116="Free Throw",1,I116="2-Point Shot",2,I116="Dunk",2,I116="3-Point Shot",3),"")</f>
        <v>1</v>
      </c>
      <c r="L116" s="16" cm="1">
        <f t="array" ref="L116">IFERROR(_xlfn.IFS(J116="Made",1,J116="Missed",0),"")</f>
        <v>1</v>
      </c>
      <c r="M116" s="16">
        <f t="shared" si="6"/>
        <v>1</v>
      </c>
      <c r="R116" s="16" t="str">
        <f t="shared" si="7"/>
        <v>N</v>
      </c>
      <c r="S116" s="16" t="str" cm="1">
        <f t="array" ref="S116">IFERROR(_xlfn.IFS(I116="Offensive Rebound",1),"")</f>
        <v/>
      </c>
      <c r="T116" s="16" t="str" cm="1">
        <f t="array" ref="T116">IFERROR(_xlfn.IFS(I116="Defensive Rebound",1),"")</f>
        <v/>
      </c>
      <c r="U116" s="16" t="str" cm="1">
        <f t="array" ref="U116">IFERROR(_xlfn.IFS(I116="Assist",1),"")</f>
        <v/>
      </c>
      <c r="V116" s="16" t="str" cm="1">
        <f t="array" ref="V116">IFERROR(_xlfn.IFS(I116="Turnover",1),"")</f>
        <v/>
      </c>
      <c r="W116" s="16" t="str" cm="1">
        <f t="array" ref="W116">IFERROR(_xlfn.IFS(I116="Steal",1),"")</f>
        <v/>
      </c>
      <c r="X116" s="16" t="str" cm="1">
        <f t="array" ref="X116">IFERROR(_xlfn.IFS(I116="Block",1),"")</f>
        <v/>
      </c>
      <c r="Y116" s="16" t="str" cm="1">
        <f t="array" ref="Y116">IFERROR(_xlfn.IFS(I116="Block Received",1),"")</f>
        <v/>
      </c>
      <c r="Z116" s="16" t="str" cm="1">
        <f t="array" ref="Z116">IFERROR(_xlfn.IFS(I116="Foul",1,I116="Foul Technical",1,I116="Offensive Foul",1),"")</f>
        <v/>
      </c>
      <c r="AA116" s="16" t="str" cm="1">
        <f t="array" ref="AA116">IFERROR(_xlfn.IFS(I116="Foul Received",1),"")</f>
        <v/>
      </c>
      <c r="AB116" s="49" t="str" cm="1">
        <f t="array" ref="AB116">IFERROR(_xlfn.IFS(I116="Starting lineup",C116,I116="Substitution - In",C116),"")</f>
        <v/>
      </c>
      <c r="AC116" s="46" t="str" cm="1">
        <f t="array" ref="AC116">IFERROR(_xlfn.IFS(I116="Finishing lineup",C116,I116="Substitution - Out",C116),"")</f>
        <v/>
      </c>
      <c r="AD116" s="46" t="str" cm="1">
        <f t="array" ref="AD116">IF(AC116&lt;&gt;"",LOOKUP(2,1/((G$2:G115=G116)*(AB$2:AB115&lt;&gt;"")),AB$2:AB115)-AC116,"")</f>
        <v/>
      </c>
      <c r="AE116" s="50" t="str" cm="1">
        <f t="array" ref="AE116">IF(AC116&lt;&gt;"",LOOKUP(2,1/((G$2:G115=G116)*(AB$2:AB115&lt;&gt;"")),AB$2:AB115)-AC116,"")</f>
        <v/>
      </c>
    </row>
    <row r="117" spans="1:31" hidden="1" x14ac:dyDescent="0.35">
      <c r="A117" s="16">
        <v>1</v>
      </c>
      <c r="B117" s="19">
        <v>116</v>
      </c>
      <c r="C117" s="46">
        <v>2.3148148148148147E-3</v>
      </c>
      <c r="D117" s="16">
        <f t="shared" si="4"/>
        <v>3</v>
      </c>
      <c r="E117" s="16">
        <f t="shared" si="5"/>
        <v>20</v>
      </c>
      <c r="F117" s="19" t="s">
        <v>99</v>
      </c>
      <c r="G117" s="16" t="s">
        <v>69</v>
      </c>
      <c r="H117" s="16" t="str">
        <f>_xlfn.XLOOKUP(G117,'1-Players'!$A$2:$A$27,'1-Players'!$D$2:$D$27,"")</f>
        <v>Alfonso Plummer</v>
      </c>
      <c r="I117" s="19" t="s">
        <v>85</v>
      </c>
      <c r="J117" s="19" t="s">
        <v>60</v>
      </c>
      <c r="K117" s="16" cm="1">
        <f t="array" ref="K117">IFERROR(_xlfn.IFS(I117="Free Throw",1,I117="2-Point Shot",2,I117="Dunk",2,I117="3-Point Shot",3),"")</f>
        <v>1</v>
      </c>
      <c r="L117" s="16" cm="1">
        <f t="array" ref="L117">IFERROR(_xlfn.IFS(J117="Made",1,J117="Missed",0),"")</f>
        <v>1</v>
      </c>
      <c r="M117" s="16">
        <f t="shared" si="6"/>
        <v>1</v>
      </c>
      <c r="R117" s="16" t="str">
        <f t="shared" si="7"/>
        <v>N</v>
      </c>
      <c r="S117" s="16" t="str" cm="1">
        <f t="array" ref="S117">IFERROR(_xlfn.IFS(I117="Offensive Rebound",1),"")</f>
        <v/>
      </c>
      <c r="T117" s="16" t="str" cm="1">
        <f t="array" ref="T117">IFERROR(_xlfn.IFS(I117="Defensive Rebound",1),"")</f>
        <v/>
      </c>
      <c r="U117" s="16" t="str" cm="1">
        <f t="array" ref="U117">IFERROR(_xlfn.IFS(I117="Assist",1),"")</f>
        <v/>
      </c>
      <c r="V117" s="16" t="str" cm="1">
        <f t="array" ref="V117">IFERROR(_xlfn.IFS(I117="Turnover",1),"")</f>
        <v/>
      </c>
      <c r="W117" s="16" t="str" cm="1">
        <f t="array" ref="W117">IFERROR(_xlfn.IFS(I117="Steal",1),"")</f>
        <v/>
      </c>
      <c r="X117" s="16" t="str" cm="1">
        <f t="array" ref="X117">IFERROR(_xlfn.IFS(I117="Block",1),"")</f>
        <v/>
      </c>
      <c r="Y117" s="16" t="str" cm="1">
        <f t="array" ref="Y117">IFERROR(_xlfn.IFS(I117="Block Received",1),"")</f>
        <v/>
      </c>
      <c r="Z117" s="16" t="str" cm="1">
        <f t="array" ref="Z117">IFERROR(_xlfn.IFS(I117="Foul",1,I117="Foul Technical",1,I117="Offensive Foul",1),"")</f>
        <v/>
      </c>
      <c r="AA117" s="16" t="str" cm="1">
        <f t="array" ref="AA117">IFERROR(_xlfn.IFS(I117="Foul Received",1),"")</f>
        <v/>
      </c>
      <c r="AB117" s="49" t="str" cm="1">
        <f t="array" ref="AB117">IFERROR(_xlfn.IFS(I117="Starting lineup",C117,I117="Substitution - In",C117),"")</f>
        <v/>
      </c>
      <c r="AC117" s="46" t="str" cm="1">
        <f t="array" ref="AC117">IFERROR(_xlfn.IFS(I117="Finishing lineup",C117,I117="Substitution - Out",C117),"")</f>
        <v/>
      </c>
      <c r="AD117" s="46" t="str" cm="1">
        <f t="array" ref="AD117">IF(AC117&lt;&gt;"",LOOKUP(2,1/((G$2:G116=G117)*(AB$2:AB116&lt;&gt;"")),AB$2:AB116)-AC117,"")</f>
        <v/>
      </c>
      <c r="AE117" s="50" t="str" cm="1">
        <f t="array" ref="AE117">IF(AC117&lt;&gt;"",LOOKUP(2,1/((G$2:G116=G117)*(AB$2:AB116&lt;&gt;"")),AB$2:AB116)-AC117,"")</f>
        <v/>
      </c>
    </row>
    <row r="118" spans="1:31" hidden="1" x14ac:dyDescent="0.35">
      <c r="A118" s="16">
        <v>1</v>
      </c>
      <c r="B118" s="19">
        <v>117</v>
      </c>
      <c r="C118" s="46">
        <v>2.3148148148148147E-3</v>
      </c>
      <c r="D118" s="16">
        <f t="shared" si="4"/>
        <v>3</v>
      </c>
      <c r="E118" s="16">
        <f t="shared" si="5"/>
        <v>20</v>
      </c>
      <c r="F118" s="19" t="s">
        <v>99</v>
      </c>
      <c r="G118" s="16" t="s">
        <v>69</v>
      </c>
      <c r="H118" s="16" t="str">
        <f>_xlfn.XLOOKUP(G118,'1-Players'!$A$2:$A$27,'1-Players'!$D$2:$D$27,"")</f>
        <v>Alfonso Plummer</v>
      </c>
      <c r="I118" s="19" t="s">
        <v>85</v>
      </c>
      <c r="J118" s="19" t="s">
        <v>60</v>
      </c>
      <c r="K118" s="16" cm="1">
        <f t="array" ref="K118">IFERROR(_xlfn.IFS(I118="Free Throw",1,I118="2-Point Shot",2,I118="Dunk",2,I118="3-Point Shot",3),"")</f>
        <v>1</v>
      </c>
      <c r="L118" s="16" cm="1">
        <f t="array" ref="L118">IFERROR(_xlfn.IFS(J118="Made",1,J118="Missed",0),"")</f>
        <v>1</v>
      </c>
      <c r="M118" s="16">
        <f t="shared" si="6"/>
        <v>1</v>
      </c>
      <c r="R118" s="16" t="str">
        <f t="shared" si="7"/>
        <v>N</v>
      </c>
      <c r="S118" s="16" t="str" cm="1">
        <f t="array" ref="S118">IFERROR(_xlfn.IFS(I118="Offensive Rebound",1),"")</f>
        <v/>
      </c>
      <c r="T118" s="16" t="str" cm="1">
        <f t="array" ref="T118">IFERROR(_xlfn.IFS(I118="Defensive Rebound",1),"")</f>
        <v/>
      </c>
      <c r="U118" s="16" t="str" cm="1">
        <f t="array" ref="U118">IFERROR(_xlfn.IFS(I118="Assist",1),"")</f>
        <v/>
      </c>
      <c r="V118" s="16" t="str" cm="1">
        <f t="array" ref="V118">IFERROR(_xlfn.IFS(I118="Turnover",1),"")</f>
        <v/>
      </c>
      <c r="W118" s="16" t="str" cm="1">
        <f t="array" ref="W118">IFERROR(_xlfn.IFS(I118="Steal",1),"")</f>
        <v/>
      </c>
      <c r="X118" s="16" t="str" cm="1">
        <f t="array" ref="X118">IFERROR(_xlfn.IFS(I118="Block",1),"")</f>
        <v/>
      </c>
      <c r="Y118" s="16" t="str" cm="1">
        <f t="array" ref="Y118">IFERROR(_xlfn.IFS(I118="Block Received",1),"")</f>
        <v/>
      </c>
      <c r="Z118" s="16" t="str" cm="1">
        <f t="array" ref="Z118">IFERROR(_xlfn.IFS(I118="Foul",1,I118="Foul Technical",1,I118="Offensive Foul",1),"")</f>
        <v/>
      </c>
      <c r="AA118" s="16" t="str" cm="1">
        <f t="array" ref="AA118">IFERROR(_xlfn.IFS(I118="Foul Received",1),"")</f>
        <v/>
      </c>
      <c r="AB118" s="49" t="str" cm="1">
        <f t="array" ref="AB118">IFERROR(_xlfn.IFS(I118="Starting lineup",C118,I118="Substitution - In",C118),"")</f>
        <v/>
      </c>
      <c r="AC118" s="46" t="str" cm="1">
        <f t="array" ref="AC118">IFERROR(_xlfn.IFS(I118="Finishing lineup",C118,I118="Substitution - Out",C118),"")</f>
        <v/>
      </c>
      <c r="AD118" s="46" t="str" cm="1">
        <f t="array" ref="AD118">IF(AC118&lt;&gt;"",LOOKUP(2,1/((G$2:G117=G118)*(AB$2:AB117&lt;&gt;"")),AB$2:AB117)-AC118,"")</f>
        <v/>
      </c>
      <c r="AE118" s="50" t="str" cm="1">
        <f t="array" ref="AE118">IF(AC118&lt;&gt;"",LOOKUP(2,1/((G$2:G117=G118)*(AB$2:AB117&lt;&gt;"")),AB$2:AB117)-AC118,"")</f>
        <v/>
      </c>
    </row>
    <row r="119" spans="1:31" x14ac:dyDescent="0.35">
      <c r="A119" s="19">
        <v>1</v>
      </c>
      <c r="B119" s="19">
        <v>118</v>
      </c>
      <c r="C119" s="46">
        <v>2.1180555555555558E-3</v>
      </c>
      <c r="D119" s="16">
        <f t="shared" si="4"/>
        <v>3</v>
      </c>
      <c r="E119" s="16">
        <f t="shared" si="5"/>
        <v>3</v>
      </c>
      <c r="F119" s="19" t="s">
        <v>16</v>
      </c>
      <c r="G119" s="16" t="s">
        <v>24</v>
      </c>
      <c r="H119" s="16" t="str">
        <f>_xlfn.XLOOKUP(G119,'1-Players'!$A$2:$A$27,'1-Players'!$D$2:$D$27,"")</f>
        <v>Kristers Zoriks</v>
      </c>
      <c r="I119" s="19" t="s">
        <v>83</v>
      </c>
      <c r="J119" s="19" t="s">
        <v>63</v>
      </c>
      <c r="K119" s="16" cm="1">
        <f t="array" ref="K119">IFERROR(_xlfn.IFS(I119="Free Throw",1,I119="2-Point Shot",2,I119="Dunk",2,I119="3-Point Shot",3),"")</f>
        <v>3</v>
      </c>
      <c r="L119" s="16" cm="1">
        <f t="array" ref="L119">IFERROR(_xlfn.IFS(J119="Made",1,J119="Missed",0),"")</f>
        <v>0</v>
      </c>
      <c r="M119" s="16">
        <f t="shared" si="6"/>
        <v>0</v>
      </c>
      <c r="N119" s="16" t="s">
        <v>180</v>
      </c>
      <c r="O119" s="16" t="s">
        <v>190</v>
      </c>
      <c r="P119" s="16">
        <v>6</v>
      </c>
      <c r="Q119" s="16" t="s">
        <v>125</v>
      </c>
      <c r="R119" s="16" t="str">
        <f t="shared" si="7"/>
        <v/>
      </c>
      <c r="S119" s="16" t="str" cm="1">
        <f t="array" ref="S119">IFERROR(_xlfn.IFS(I119="Offensive Rebound",1),"")</f>
        <v/>
      </c>
      <c r="T119" s="16" t="str" cm="1">
        <f t="array" ref="T119">IFERROR(_xlfn.IFS(I119="Defensive Rebound",1),"")</f>
        <v/>
      </c>
      <c r="U119" s="16" t="str" cm="1">
        <f t="array" ref="U119">IFERROR(_xlfn.IFS(I119="Assist",1),"")</f>
        <v/>
      </c>
      <c r="V119" s="16" t="str" cm="1">
        <f t="array" ref="V119">IFERROR(_xlfn.IFS(I119="Turnover",1),"")</f>
        <v/>
      </c>
      <c r="W119" s="16" t="str" cm="1">
        <f t="array" ref="W119">IFERROR(_xlfn.IFS(I119="Steal",1),"")</f>
        <v/>
      </c>
      <c r="X119" s="16" t="str" cm="1">
        <f t="array" ref="X119">IFERROR(_xlfn.IFS(I119="Block",1),"")</f>
        <v/>
      </c>
      <c r="Y119" s="16" t="str" cm="1">
        <f t="array" ref="Y119">IFERROR(_xlfn.IFS(I119="Block Received",1),"")</f>
        <v/>
      </c>
      <c r="Z119" s="16" t="str" cm="1">
        <f t="array" ref="Z119">IFERROR(_xlfn.IFS(I119="Foul",1,I119="Foul Technical",1,I119="Offensive Foul",1),"")</f>
        <v/>
      </c>
      <c r="AA119" s="16" t="str" cm="1">
        <f t="array" ref="AA119">IFERROR(_xlfn.IFS(I119="Foul Received",1),"")</f>
        <v/>
      </c>
      <c r="AB119" s="49" t="str" cm="1">
        <f t="array" ref="AB119">IFERROR(_xlfn.IFS(I119="Starting lineup",C119,I119="Substitution - In",C119),"")</f>
        <v/>
      </c>
      <c r="AC119" s="46" t="str" cm="1">
        <f t="array" ref="AC119">IFERROR(_xlfn.IFS(I119="Finishing lineup",C119,I119="Substitution - Out",C119),"")</f>
        <v/>
      </c>
      <c r="AD119" s="46" t="str" cm="1">
        <f t="array" ref="AD119">IF(AC119&lt;&gt;"",LOOKUP(2,1/((G$2:G118=G119)*(AB$2:AB118&lt;&gt;"")),AB$2:AB118)-AC119,"")</f>
        <v/>
      </c>
      <c r="AE119" s="50" t="str" cm="1">
        <f t="array" ref="AE119">IF(AC119&lt;&gt;"",LOOKUP(2,1/((G$2:G118=G119)*(AB$2:AB118&lt;&gt;"")),AB$2:AB118)-AC119,"")</f>
        <v/>
      </c>
    </row>
    <row r="120" spans="1:31" hidden="1" x14ac:dyDescent="0.35">
      <c r="A120" s="16">
        <v>1</v>
      </c>
      <c r="B120" s="19">
        <v>119</v>
      </c>
      <c r="C120" s="46">
        <v>2.1180555555555558E-3</v>
      </c>
      <c r="D120" s="16">
        <f t="shared" si="4"/>
        <v>3</v>
      </c>
      <c r="E120" s="16">
        <f t="shared" si="5"/>
        <v>3</v>
      </c>
      <c r="F120" s="19" t="s">
        <v>16</v>
      </c>
      <c r="G120" s="16" t="s">
        <v>45</v>
      </c>
      <c r="H120" s="16" t="str">
        <f>_xlfn.XLOOKUP(G120,'1-Players'!$A$2:$A$27,'1-Players'!$D$2:$D$27,"")</f>
        <v>Gyorgy Golomán</v>
      </c>
      <c r="I120" s="19" t="s">
        <v>109</v>
      </c>
      <c r="K120" s="16" t="str" cm="1">
        <f t="array" ref="K120">IFERROR(_xlfn.IFS(I120="Free Throw",1,I120="2-Point Shot",2,I120="Dunk",2,I120="3-Point Shot",3),"")</f>
        <v/>
      </c>
      <c r="L120" s="16" t="str" cm="1">
        <f t="array" ref="L120">IFERROR(_xlfn.IFS(J120="Made",1,J120="Missed",0),"")</f>
        <v/>
      </c>
      <c r="M120" s="16" t="str">
        <f t="shared" si="6"/>
        <v/>
      </c>
      <c r="R120" s="16" t="str">
        <f t="shared" si="7"/>
        <v/>
      </c>
      <c r="S120" s="16" cm="1">
        <f t="array" ref="S120">IFERROR(_xlfn.IFS(I120="Offensive Rebound",1),"")</f>
        <v>1</v>
      </c>
      <c r="T120" s="16" t="str" cm="1">
        <f t="array" ref="T120">IFERROR(_xlfn.IFS(I120="Defensive Rebound",1),"")</f>
        <v/>
      </c>
      <c r="U120" s="16" t="str" cm="1">
        <f t="array" ref="U120">IFERROR(_xlfn.IFS(I120="Assist",1),"")</f>
        <v/>
      </c>
      <c r="V120" s="16" t="str" cm="1">
        <f t="array" ref="V120">IFERROR(_xlfn.IFS(I120="Turnover",1),"")</f>
        <v/>
      </c>
      <c r="W120" s="16" t="str" cm="1">
        <f t="array" ref="W120">IFERROR(_xlfn.IFS(I120="Steal",1),"")</f>
        <v/>
      </c>
      <c r="X120" s="16" t="str" cm="1">
        <f t="array" ref="X120">IFERROR(_xlfn.IFS(I120="Block",1),"")</f>
        <v/>
      </c>
      <c r="Y120" s="16" t="str" cm="1">
        <f t="array" ref="Y120">IFERROR(_xlfn.IFS(I120="Block Received",1),"")</f>
        <v/>
      </c>
      <c r="Z120" s="16" t="str" cm="1">
        <f t="array" ref="Z120">IFERROR(_xlfn.IFS(I120="Foul",1,I120="Foul Technical",1,I120="Offensive Foul",1),"")</f>
        <v/>
      </c>
      <c r="AA120" s="16" t="str" cm="1">
        <f t="array" ref="AA120">IFERROR(_xlfn.IFS(I120="Foul Received",1),"")</f>
        <v/>
      </c>
      <c r="AB120" s="49" t="str" cm="1">
        <f t="array" ref="AB120">IFERROR(_xlfn.IFS(I120="Starting lineup",C120,I120="Substitution - In",C120),"")</f>
        <v/>
      </c>
      <c r="AC120" s="46" t="str" cm="1">
        <f t="array" ref="AC120">IFERROR(_xlfn.IFS(I120="Finishing lineup",C120,I120="Substitution - Out",C120),"")</f>
        <v/>
      </c>
      <c r="AD120" s="46" t="str" cm="1">
        <f t="array" ref="AD120">IF(AC120&lt;&gt;"",LOOKUP(2,1/((G$2:G119=G120)*(AB$2:AB119&lt;&gt;"")),AB$2:AB119)-AC120,"")</f>
        <v/>
      </c>
      <c r="AE120" s="50" t="str" cm="1">
        <f t="array" ref="AE120">IF(AC120&lt;&gt;"",LOOKUP(2,1/((G$2:G119=G120)*(AB$2:AB119&lt;&gt;"")),AB$2:AB119)-AC120,"")</f>
        <v/>
      </c>
    </row>
    <row r="121" spans="1:31" hidden="1" x14ac:dyDescent="0.35">
      <c r="A121" s="16">
        <v>1</v>
      </c>
      <c r="B121" s="19">
        <v>120</v>
      </c>
      <c r="C121" s="46">
        <v>2.0370370370370369E-3</v>
      </c>
      <c r="D121" s="16">
        <f t="shared" ref="D121:D154" si="11">MINUTE(C121)</f>
        <v>2</v>
      </c>
      <c r="E121" s="16">
        <f t="shared" si="5"/>
        <v>56</v>
      </c>
      <c r="F121" s="19" t="s">
        <v>16</v>
      </c>
      <c r="G121" s="16" t="s">
        <v>39</v>
      </c>
      <c r="H121" s="16" t="str">
        <f>_xlfn.XLOOKUP(G121,'1-Players'!$A$2:$A$27,'1-Players'!$D$2:$D$27,"")</f>
        <v>Millán Jiménez</v>
      </c>
      <c r="I121" s="19" t="s">
        <v>112</v>
      </c>
      <c r="J121" s="19" t="s">
        <v>113</v>
      </c>
      <c r="K121" s="16" t="str" cm="1">
        <f t="array" ref="K121">IFERROR(_xlfn.IFS(I121="Free Throw",1,I121="2-Point Shot",2,I121="Dunk",2,I121="3-Point Shot",3),"")</f>
        <v/>
      </c>
      <c r="L121" s="16" t="str" cm="1">
        <f t="array" ref="L121">IFERROR(_xlfn.IFS(J121="Made",1,J121="Missed",0),"")</f>
        <v/>
      </c>
      <c r="M121" s="16" t="str">
        <f t="shared" si="6"/>
        <v/>
      </c>
      <c r="R121" s="16" t="str">
        <f t="shared" si="7"/>
        <v/>
      </c>
      <c r="S121" s="16" t="str" cm="1">
        <f t="array" ref="S121">IFERROR(_xlfn.IFS(I121="Offensive Rebound",1),"")</f>
        <v/>
      </c>
      <c r="T121" s="16" t="str" cm="1">
        <f t="array" ref="T121">IFERROR(_xlfn.IFS(I121="Defensive Rebound",1),"")</f>
        <v/>
      </c>
      <c r="U121" s="16" t="str" cm="1">
        <f t="array" ref="U121">IFERROR(_xlfn.IFS(I121="Assist",1),"")</f>
        <v/>
      </c>
      <c r="V121" s="16" cm="1">
        <f t="array" ref="V121">IFERROR(_xlfn.IFS(I121="Turnover",1),"")</f>
        <v>1</v>
      </c>
      <c r="W121" s="16" t="str" cm="1">
        <f t="array" ref="W121">IFERROR(_xlfn.IFS(I121="Steal",1),"")</f>
        <v/>
      </c>
      <c r="X121" s="16" t="str" cm="1">
        <f t="array" ref="X121">IFERROR(_xlfn.IFS(I121="Block",1),"")</f>
        <v/>
      </c>
      <c r="Y121" s="16" t="str" cm="1">
        <f t="array" ref="Y121">IFERROR(_xlfn.IFS(I121="Block Received",1),"")</f>
        <v/>
      </c>
      <c r="Z121" s="16" t="str" cm="1">
        <f t="array" ref="Z121">IFERROR(_xlfn.IFS(I121="Foul",1,I121="Foul Technical",1,I121="Offensive Foul",1),"")</f>
        <v/>
      </c>
      <c r="AA121" s="16" t="str" cm="1">
        <f t="array" ref="AA121">IFERROR(_xlfn.IFS(I121="Foul Received",1),"")</f>
        <v/>
      </c>
      <c r="AB121" s="49" t="str" cm="1">
        <f t="array" ref="AB121">IFERROR(_xlfn.IFS(I121="Starting lineup",C121,I121="Substitution - In",C121),"")</f>
        <v/>
      </c>
      <c r="AC121" s="46" t="str" cm="1">
        <f t="array" ref="AC121">IFERROR(_xlfn.IFS(I121="Finishing lineup",C121,I121="Substitution - Out",C121),"")</f>
        <v/>
      </c>
      <c r="AD121" s="46" t="str" cm="1">
        <f t="array" ref="AD121">IF(AC121&lt;&gt;"",LOOKUP(2,1/((G$2:G120=G121)*(AB$2:AB120&lt;&gt;"")),AB$2:AB120)-AC121,"")</f>
        <v/>
      </c>
      <c r="AE121" s="50" t="str" cm="1">
        <f t="array" ref="AE121">IF(AC121&lt;&gt;"",LOOKUP(2,1/((G$2:G120=G121)*(AB$2:AB120&lt;&gt;"")),AB$2:AB120)-AC121,"")</f>
        <v/>
      </c>
    </row>
    <row r="122" spans="1:31" hidden="1" x14ac:dyDescent="0.35">
      <c r="A122" s="19">
        <v>1</v>
      </c>
      <c r="B122" s="19">
        <v>121</v>
      </c>
      <c r="C122" s="46">
        <v>1.9328703703703704E-3</v>
      </c>
      <c r="D122" s="16">
        <f t="shared" si="11"/>
        <v>2</v>
      </c>
      <c r="E122" s="16">
        <f t="shared" si="5"/>
        <v>47</v>
      </c>
      <c r="F122" s="19" t="s">
        <v>46</v>
      </c>
      <c r="G122" s="16" t="s">
        <v>9</v>
      </c>
      <c r="H122" s="16" t="str">
        <f>_xlfn.XLOOKUP(G122,'1-Players'!$A$2:$A$27,'1-Players'!$D$2:$D$27,"")</f>
        <v>Agustín Ubal</v>
      </c>
      <c r="I122" s="19" t="s">
        <v>82</v>
      </c>
      <c r="J122" s="19" t="s">
        <v>60</v>
      </c>
      <c r="K122" s="16" cm="1">
        <f t="array" ref="K122">IFERROR(_xlfn.IFS(I122="Free Throw",1,I122="2-Point Shot",2,I122="Dunk",2,I122="3-Point Shot",3),"")</f>
        <v>2</v>
      </c>
      <c r="L122" s="16" cm="1">
        <f t="array" ref="L122">IFERROR(_xlfn.IFS(J122="Made",1,J122="Missed",0),"")</f>
        <v>1</v>
      </c>
      <c r="M122" s="16">
        <f t="shared" si="6"/>
        <v>2</v>
      </c>
      <c r="N122" s="16" t="s">
        <v>176</v>
      </c>
      <c r="O122" s="16" t="s">
        <v>175</v>
      </c>
      <c r="P122" s="16">
        <v>17</v>
      </c>
      <c r="Q122" s="16" t="s">
        <v>102</v>
      </c>
      <c r="R122" s="16" t="str">
        <f t="shared" si="7"/>
        <v>N</v>
      </c>
      <c r="S122" s="16" t="str" cm="1">
        <f t="array" ref="S122">IFERROR(_xlfn.IFS(I122="Offensive Rebound",1),"")</f>
        <v/>
      </c>
      <c r="T122" s="16" t="str" cm="1">
        <f t="array" ref="T122">IFERROR(_xlfn.IFS(I122="Defensive Rebound",1),"")</f>
        <v/>
      </c>
      <c r="U122" s="16" t="str" cm="1">
        <f t="array" ref="U122">IFERROR(_xlfn.IFS(I122="Assist",1),"")</f>
        <v/>
      </c>
      <c r="V122" s="16" t="str" cm="1">
        <f t="array" ref="V122">IFERROR(_xlfn.IFS(I122="Turnover",1),"")</f>
        <v/>
      </c>
      <c r="W122" s="16" t="str" cm="1">
        <f t="array" ref="W122">IFERROR(_xlfn.IFS(I122="Steal",1),"")</f>
        <v/>
      </c>
      <c r="X122" s="16" t="str" cm="1">
        <f t="array" ref="X122">IFERROR(_xlfn.IFS(I122="Block",1),"")</f>
        <v/>
      </c>
      <c r="Y122" s="16" t="str" cm="1">
        <f t="array" ref="Y122">IFERROR(_xlfn.IFS(I122="Block Received",1),"")</f>
        <v/>
      </c>
      <c r="Z122" s="16" t="str" cm="1">
        <f t="array" ref="Z122">IFERROR(_xlfn.IFS(I122="Foul",1,I122="Foul Technical",1,I122="Offensive Foul",1),"")</f>
        <v/>
      </c>
      <c r="AA122" s="16" t="str" cm="1">
        <f t="array" ref="AA122">IFERROR(_xlfn.IFS(I122="Foul Received",1),"")</f>
        <v/>
      </c>
      <c r="AB122" s="49" t="str" cm="1">
        <f t="array" ref="AB122">IFERROR(_xlfn.IFS(I122="Starting lineup",C122,I122="Substitution - In",C122),"")</f>
        <v/>
      </c>
      <c r="AC122" s="46" t="str" cm="1">
        <f t="array" ref="AC122">IFERROR(_xlfn.IFS(I122="Finishing lineup",C122,I122="Substitution - Out",C122),"")</f>
        <v/>
      </c>
      <c r="AD122" s="46" t="str" cm="1">
        <f t="array" ref="AD122">IF(AC122&lt;&gt;"",LOOKUP(2,1/((G$2:G121=G122)*(AB$2:AB121&lt;&gt;"")),AB$2:AB121)-AC122,"")</f>
        <v/>
      </c>
      <c r="AE122" s="50" t="str" cm="1">
        <f t="array" ref="AE122">IF(AC122&lt;&gt;"",LOOKUP(2,1/((G$2:G121=G122)*(AB$2:AB121&lt;&gt;"")),AB$2:AB121)-AC122,"")</f>
        <v/>
      </c>
    </row>
    <row r="123" spans="1:31" hidden="1" x14ac:dyDescent="0.35">
      <c r="A123" s="16">
        <v>1</v>
      </c>
      <c r="B123" s="19">
        <v>122</v>
      </c>
      <c r="C123" s="46">
        <v>1.7013888888888888E-3</v>
      </c>
      <c r="D123" s="16">
        <f t="shared" si="11"/>
        <v>2</v>
      </c>
      <c r="E123" s="16">
        <f t="shared" si="5"/>
        <v>27</v>
      </c>
      <c r="F123" s="19" t="s">
        <v>16</v>
      </c>
      <c r="G123" s="16" t="s">
        <v>24</v>
      </c>
      <c r="H123" s="16" t="str">
        <f>_xlfn.XLOOKUP(G123,'1-Players'!$A$2:$A$27,'1-Players'!$D$2:$D$27,"")</f>
        <v>Kristers Zoriks</v>
      </c>
      <c r="I123" s="19" t="s">
        <v>82</v>
      </c>
      <c r="J123" s="19" t="s">
        <v>63</v>
      </c>
      <c r="K123" s="16" cm="1">
        <f t="array" ref="K123">IFERROR(_xlfn.IFS(I123="Free Throw",1,I123="2-Point Shot",2,I123="Dunk",2,I123="3-Point Shot",3),"")</f>
        <v>2</v>
      </c>
      <c r="L123" s="16" cm="1">
        <f t="array" ref="L123">IFERROR(_xlfn.IFS(J123="Made",1,J123="Missed",0),"")</f>
        <v>0</v>
      </c>
      <c r="M123" s="16">
        <f t="shared" si="6"/>
        <v>0</v>
      </c>
      <c r="N123" s="16" t="s">
        <v>176</v>
      </c>
      <c r="O123" s="16" t="s">
        <v>178</v>
      </c>
      <c r="P123" s="16">
        <v>5</v>
      </c>
      <c r="Q123" s="16" t="s">
        <v>102</v>
      </c>
      <c r="R123" s="16" t="str">
        <f t="shared" si="7"/>
        <v/>
      </c>
      <c r="S123" s="16" t="str" cm="1">
        <f t="array" ref="S123">IFERROR(_xlfn.IFS(I123="Offensive Rebound",1),"")</f>
        <v/>
      </c>
      <c r="T123" s="16" t="str" cm="1">
        <f t="array" ref="T123">IFERROR(_xlfn.IFS(I123="Defensive Rebound",1),"")</f>
        <v/>
      </c>
      <c r="U123" s="16" t="str" cm="1">
        <f t="array" ref="U123">IFERROR(_xlfn.IFS(I123="Assist",1),"")</f>
        <v/>
      </c>
      <c r="V123" s="16" t="str" cm="1">
        <f t="array" ref="V123">IFERROR(_xlfn.IFS(I123="Turnover",1),"")</f>
        <v/>
      </c>
      <c r="W123" s="16" t="str" cm="1">
        <f t="array" ref="W123">IFERROR(_xlfn.IFS(I123="Steal",1),"")</f>
        <v/>
      </c>
      <c r="X123" s="16" t="str" cm="1">
        <f t="array" ref="X123">IFERROR(_xlfn.IFS(I123="Block",1),"")</f>
        <v/>
      </c>
      <c r="Y123" s="16" t="str" cm="1">
        <f t="array" ref="Y123">IFERROR(_xlfn.IFS(I123="Block Received",1),"")</f>
        <v/>
      </c>
      <c r="Z123" s="16" t="str" cm="1">
        <f t="array" ref="Z123">IFERROR(_xlfn.IFS(I123="Foul",1,I123="Foul Technical",1,I123="Offensive Foul",1),"")</f>
        <v/>
      </c>
      <c r="AA123" s="16" t="str" cm="1">
        <f t="array" ref="AA123">IFERROR(_xlfn.IFS(I123="Foul Received",1),"")</f>
        <v/>
      </c>
      <c r="AB123" s="49" t="str" cm="1">
        <f t="array" ref="AB123">IFERROR(_xlfn.IFS(I123="Starting lineup",C123,I123="Substitution - In",C123),"")</f>
        <v/>
      </c>
      <c r="AC123" s="46" t="str" cm="1">
        <f t="array" ref="AC123">IFERROR(_xlfn.IFS(I123="Finishing lineup",C123,I123="Substitution - Out",C123),"")</f>
        <v/>
      </c>
      <c r="AD123" s="46" t="str" cm="1">
        <f t="array" ref="AD123">IF(AC123&lt;&gt;"",LOOKUP(2,1/((G$2:G122=G123)*(AB$2:AB122&lt;&gt;"")),AB$2:AB122)-AC123,"")</f>
        <v/>
      </c>
      <c r="AE123" s="50" t="str" cm="1">
        <f t="array" ref="AE123">IF(AC123&lt;&gt;"",LOOKUP(2,1/((G$2:G122=G123)*(AB$2:AB122&lt;&gt;"")),AB$2:AB122)-AC123,"")</f>
        <v/>
      </c>
    </row>
    <row r="124" spans="1:31" hidden="1" x14ac:dyDescent="0.35">
      <c r="A124" s="16">
        <v>1</v>
      </c>
      <c r="B124" s="19">
        <v>123</v>
      </c>
      <c r="C124" s="46">
        <v>1.7013888888888888E-3</v>
      </c>
      <c r="D124" s="16">
        <f>MINUTE(C124)</f>
        <v>2</v>
      </c>
      <c r="E124" s="16">
        <f>SECOND(C124)</f>
        <v>27</v>
      </c>
      <c r="F124" s="19" t="s">
        <v>16</v>
      </c>
      <c r="G124" s="16" t="s">
        <v>24</v>
      </c>
      <c r="H124" s="16" t="str">
        <f>_xlfn.XLOOKUP(G124,'1-Players'!$A$2:$A$27,'1-Players'!$D$2:$D$27,"")</f>
        <v>Kristers Zoriks</v>
      </c>
      <c r="I124" s="19" t="s">
        <v>86</v>
      </c>
      <c r="J124" s="19"/>
      <c r="K124" s="16" t="str" cm="1">
        <f t="array" ref="K124">IFERROR(_xlfn.IFS(I124="Free Throw",1,I124="2-Point Shot",2,I124="Dunk",2,I124="3-Point Shot",3),"")</f>
        <v/>
      </c>
      <c r="L124" s="16" t="str" cm="1">
        <f t="array" ref="L124">IFERROR(_xlfn.IFS(J124="Made",1,J124="Missed",0),"")</f>
        <v/>
      </c>
      <c r="M124" s="16" t="str">
        <f t="shared" si="6"/>
        <v/>
      </c>
      <c r="R124" s="16" t="str">
        <f t="shared" si="7"/>
        <v/>
      </c>
      <c r="S124" s="16" t="str" cm="1">
        <f t="array" ref="S124">IFERROR(_xlfn.IFS(I124="Offensive Rebound",1),"")</f>
        <v/>
      </c>
      <c r="T124" s="16" t="str" cm="1">
        <f t="array" ref="T124">IFERROR(_xlfn.IFS(I124="Defensive Rebound",1),"")</f>
        <v/>
      </c>
      <c r="U124" s="16" t="str" cm="1">
        <f t="array" ref="U124">IFERROR(_xlfn.IFS(I124="Assist",1),"")</f>
        <v/>
      </c>
      <c r="V124" s="16" t="str" cm="1">
        <f t="array" ref="V124">IFERROR(_xlfn.IFS(I124="Turnover",1),"")</f>
        <v/>
      </c>
      <c r="W124" s="16" t="str" cm="1">
        <f t="array" ref="W124">IFERROR(_xlfn.IFS(I124="Steal",1),"")</f>
        <v/>
      </c>
      <c r="X124" s="16" t="str" cm="1">
        <f t="array" ref="X124">IFERROR(_xlfn.IFS(I124="Block",1),"")</f>
        <v/>
      </c>
      <c r="Y124" s="16" cm="1">
        <f t="array" ref="Y124">IFERROR(_xlfn.IFS(I124="Block Received",1),"")</f>
        <v>1</v>
      </c>
      <c r="Z124" s="16" t="str" cm="1">
        <f t="array" ref="Z124">IFERROR(_xlfn.IFS(I124="Foul",1,I124="Foul Technical",1,I124="Offensive Foul",1),"")</f>
        <v/>
      </c>
      <c r="AA124" s="16" t="str" cm="1">
        <f t="array" ref="AA124">IFERROR(_xlfn.IFS(I124="Foul Received",1),"")</f>
        <v/>
      </c>
      <c r="AB124" s="49" t="str" cm="1">
        <f t="array" ref="AB124">IFERROR(_xlfn.IFS(I124="Starting lineup",C124,I124="Substitution - In",C124),"")</f>
        <v/>
      </c>
      <c r="AC124" s="46" t="str" cm="1">
        <f t="array" ref="AC124">IFERROR(_xlfn.IFS(I124="Finishing lineup",C124,I124="Substitution - Out",C124),"")</f>
        <v/>
      </c>
      <c r="AD124" s="46" t="str" cm="1">
        <f t="array" ref="AD124">IF(AC124&lt;&gt;"",LOOKUP(2,1/((G$2:G123=G124)*(AB$2:AB123&lt;&gt;"")),AB$2:AB123)-AC124,"")</f>
        <v/>
      </c>
      <c r="AE124" s="50" t="str" cm="1">
        <f t="array" ref="AE124">IF(AC124&lt;&gt;"",LOOKUP(2,1/((G$2:G123=G124)*(AB$2:AB123&lt;&gt;"")),AB$2:AB123)-AC124,"")</f>
        <v/>
      </c>
    </row>
    <row r="125" spans="1:31" hidden="1" x14ac:dyDescent="0.35">
      <c r="A125" s="19">
        <v>1</v>
      </c>
      <c r="B125" s="19">
        <v>124</v>
      </c>
      <c r="C125" s="46">
        <v>1.7013888888888888E-3</v>
      </c>
      <c r="D125" s="16">
        <f>MINUTE(C125)</f>
        <v>2</v>
      </c>
      <c r="E125" s="16">
        <f>SECOND(C125)</f>
        <v>27</v>
      </c>
      <c r="F125" s="19" t="s">
        <v>46</v>
      </c>
      <c r="G125" s="16" t="s">
        <v>70</v>
      </c>
      <c r="H125" s="16" t="str">
        <f>_xlfn.XLOOKUP(G125,'1-Players'!$A$2:$A$27,'1-Players'!$D$2:$D$27,"")</f>
        <v>Louis Olinde</v>
      </c>
      <c r="I125" s="19" t="s">
        <v>64</v>
      </c>
      <c r="K125" s="16" t="str" cm="1">
        <f t="array" ref="K125">IFERROR(_xlfn.IFS(I125="Free Throw",1,I125="2-Point Shot",2,I125="Dunk",2,I125="3-Point Shot",3),"")</f>
        <v/>
      </c>
      <c r="L125" s="16" t="str" cm="1">
        <f t="array" ref="L125">IFERROR(_xlfn.IFS(J125="Made",1,J125="Missed",0),"")</f>
        <v/>
      </c>
      <c r="M125" s="16" t="str">
        <f t="shared" si="6"/>
        <v/>
      </c>
      <c r="R125" s="16" t="str">
        <f t="shared" si="7"/>
        <v/>
      </c>
      <c r="S125" s="16" t="str" cm="1">
        <f t="array" ref="S125">IFERROR(_xlfn.IFS(I125="Offensive Rebound",1),"")</f>
        <v/>
      </c>
      <c r="T125" s="16" t="str" cm="1">
        <f t="array" ref="T125">IFERROR(_xlfn.IFS(I125="Defensive Rebound",1),"")</f>
        <v/>
      </c>
      <c r="U125" s="16" t="str" cm="1">
        <f t="array" ref="U125">IFERROR(_xlfn.IFS(I125="Assist",1),"")</f>
        <v/>
      </c>
      <c r="V125" s="16" t="str" cm="1">
        <f t="array" ref="V125">IFERROR(_xlfn.IFS(I125="Turnover",1),"")</f>
        <v/>
      </c>
      <c r="W125" s="16" t="str" cm="1">
        <f t="array" ref="W125">IFERROR(_xlfn.IFS(I125="Steal",1),"")</f>
        <v/>
      </c>
      <c r="X125" s="16" cm="1">
        <f t="array" ref="X125">IFERROR(_xlfn.IFS(I125="Block",1),"")</f>
        <v>1</v>
      </c>
      <c r="Y125" s="16" t="str" cm="1">
        <f t="array" ref="Y125">IFERROR(_xlfn.IFS(I125="Block Received",1),"")</f>
        <v/>
      </c>
      <c r="Z125" s="16" t="str" cm="1">
        <f t="array" ref="Z125">IFERROR(_xlfn.IFS(I125="Foul",1,I125="Foul Technical",1,I125="Offensive Foul",1),"")</f>
        <v/>
      </c>
      <c r="AA125" s="16" t="str" cm="1">
        <f t="array" ref="AA125">IFERROR(_xlfn.IFS(I125="Foul Received",1),"")</f>
        <v/>
      </c>
      <c r="AB125" s="49" t="str" cm="1">
        <f t="array" ref="AB125">IFERROR(_xlfn.IFS(I125="Starting lineup",C125,I125="Substitution - In",C125),"")</f>
        <v/>
      </c>
      <c r="AC125" s="46" t="str" cm="1">
        <f t="array" ref="AC125">IFERROR(_xlfn.IFS(I125="Finishing lineup",C125,I125="Substitution - Out",C125),"")</f>
        <v/>
      </c>
      <c r="AD125" s="46" t="str" cm="1">
        <f t="array" ref="AD125">IF(AC125&lt;&gt;"",LOOKUP(2,1/((G$2:G124=G125)*(AB$2:AB124&lt;&gt;"")),AB$2:AB124)-AC125,"")</f>
        <v/>
      </c>
      <c r="AE125" s="50" t="str" cm="1">
        <f t="array" ref="AE125">IF(AC125&lt;&gt;"",LOOKUP(2,1/((G$2:G124=G125)*(AB$2:AB124&lt;&gt;"")),AB$2:AB124)-AC125,"")</f>
        <v/>
      </c>
    </row>
    <row r="126" spans="1:31" hidden="1" x14ac:dyDescent="0.35">
      <c r="A126" s="16">
        <v>1</v>
      </c>
      <c r="B126" s="19">
        <v>125</v>
      </c>
      <c r="C126" s="46">
        <v>1.7013888888888888E-3</v>
      </c>
      <c r="D126" s="16">
        <f t="shared" si="11"/>
        <v>2</v>
      </c>
      <c r="E126" s="16">
        <f t="shared" si="5"/>
        <v>27</v>
      </c>
      <c r="F126" s="19" t="s">
        <v>16</v>
      </c>
      <c r="G126" s="16" t="s">
        <v>121</v>
      </c>
      <c r="H126" s="16" t="str">
        <f>_xlfn.XLOOKUP(G126,'1-Players'!$A$2:$A$27,'1-Players'!$D$2:$D$27,"")</f>
        <v>TEAM - Lleida</v>
      </c>
      <c r="I126" s="19" t="s">
        <v>109</v>
      </c>
      <c r="K126" s="16" t="str" cm="1">
        <f t="array" ref="K126">IFERROR(_xlfn.IFS(I126="Free Throw",1,I126="2-Point Shot",2,I126="Dunk",2,I126="3-Point Shot",3),"")</f>
        <v/>
      </c>
      <c r="L126" s="16" t="str" cm="1">
        <f t="array" ref="L126">IFERROR(_xlfn.IFS(J126="Made",1,J126="Missed",0),"")</f>
        <v/>
      </c>
      <c r="M126" s="16" t="str">
        <f t="shared" si="6"/>
        <v/>
      </c>
      <c r="R126" s="16" t="str">
        <f t="shared" si="7"/>
        <v/>
      </c>
      <c r="S126" s="16" cm="1">
        <f t="array" ref="S126">IFERROR(_xlfn.IFS(I126="Offensive Rebound",1),"")</f>
        <v>1</v>
      </c>
      <c r="T126" s="16" t="str" cm="1">
        <f t="array" ref="T126">IFERROR(_xlfn.IFS(I126="Defensive Rebound",1),"")</f>
        <v/>
      </c>
      <c r="U126" s="16" t="str" cm="1">
        <f t="array" ref="U126">IFERROR(_xlfn.IFS(I126="Assist",1),"")</f>
        <v/>
      </c>
      <c r="V126" s="16" t="str" cm="1">
        <f t="array" ref="V126">IFERROR(_xlfn.IFS(I126="Turnover",1),"")</f>
        <v/>
      </c>
      <c r="W126" s="16" t="str" cm="1">
        <f t="array" ref="W126">IFERROR(_xlfn.IFS(I126="Steal",1),"")</f>
        <v/>
      </c>
      <c r="X126" s="16" t="str" cm="1">
        <f t="array" ref="X126">IFERROR(_xlfn.IFS(I126="Block",1),"")</f>
        <v/>
      </c>
      <c r="Y126" s="16" t="str" cm="1">
        <f t="array" ref="Y126">IFERROR(_xlfn.IFS(I126="Block Received",1),"")</f>
        <v/>
      </c>
      <c r="Z126" s="16" t="str" cm="1">
        <f t="array" ref="Z126">IFERROR(_xlfn.IFS(I126="Foul",1,I126="Foul Technical",1,I126="Offensive Foul",1),"")</f>
        <v/>
      </c>
      <c r="AA126" s="16" t="str" cm="1">
        <f t="array" ref="AA126">IFERROR(_xlfn.IFS(I126="Foul Received",1),"")</f>
        <v/>
      </c>
      <c r="AB126" s="49" t="str" cm="1">
        <f t="array" ref="AB126">IFERROR(_xlfn.IFS(I126="Starting lineup",C126,I126="Substitution - In",C126),"")</f>
        <v/>
      </c>
      <c r="AC126" s="46" t="str" cm="1">
        <f t="array" ref="AC126">IFERROR(_xlfn.IFS(I126="Finishing lineup",C126,I126="Substitution - Out",C126),"")</f>
        <v/>
      </c>
      <c r="AD126" s="46" t="str" cm="1">
        <f t="array" ref="AD126">IF(AC126&lt;&gt;"",LOOKUP(2,1/((G$2:G125=G126)*(AB$2:AB125&lt;&gt;"")),AB$2:AB125)-AC126,"")</f>
        <v/>
      </c>
      <c r="AE126" s="50" t="str" cm="1">
        <f t="array" ref="AE126">IF(AC126&lt;&gt;"",LOOKUP(2,1/((G$2:G125=G126)*(AB$2:AB125&lt;&gt;"")),AB$2:AB125)-AC126,"")</f>
        <v/>
      </c>
    </row>
    <row r="127" spans="1:31" hidden="1" x14ac:dyDescent="0.35">
      <c r="A127" s="16">
        <v>1</v>
      </c>
      <c r="B127" s="19">
        <v>126</v>
      </c>
      <c r="C127" s="46">
        <v>1.7013888888888888E-3</v>
      </c>
      <c r="D127" s="16">
        <f t="shared" si="11"/>
        <v>2</v>
      </c>
      <c r="E127" s="16">
        <f t="shared" si="5"/>
        <v>27</v>
      </c>
      <c r="F127" s="19" t="s">
        <v>46</v>
      </c>
      <c r="G127" s="16" t="s">
        <v>70</v>
      </c>
      <c r="H127" s="16" t="str">
        <f>_xlfn.XLOOKUP(G127,'1-Players'!$A$2:$A$27,'1-Players'!$D$2:$D$27,"")</f>
        <v>Louis Olinde</v>
      </c>
      <c r="I127" s="19" t="s">
        <v>122</v>
      </c>
      <c r="J127" s="19" t="s">
        <v>118</v>
      </c>
      <c r="K127" s="16" t="str" cm="1">
        <f t="array" ref="K127">IFERROR(_xlfn.IFS(I127="Free Throw",1,I127="2-Point Shot",2,I127="Dunk",2,I127="3-Point Shot",3),"")</f>
        <v/>
      </c>
      <c r="L127" s="16" t="str" cm="1">
        <f t="array" ref="L127">IFERROR(_xlfn.IFS(J127="Made",1,J127="Missed",0),"")</f>
        <v/>
      </c>
      <c r="M127" s="16" t="str">
        <f t="shared" si="6"/>
        <v/>
      </c>
      <c r="R127" s="16" t="str">
        <f t="shared" si="7"/>
        <v/>
      </c>
      <c r="S127" s="16" t="str" cm="1">
        <f t="array" ref="S127">IFERROR(_xlfn.IFS(I127="Offensive Rebound",1),"")</f>
        <v/>
      </c>
      <c r="T127" s="16" t="str" cm="1">
        <f t="array" ref="T127">IFERROR(_xlfn.IFS(I127="Defensive Rebound",1),"")</f>
        <v/>
      </c>
      <c r="U127" s="16" t="str" cm="1">
        <f t="array" ref="U127">IFERROR(_xlfn.IFS(I127="Assist",1),"")</f>
        <v/>
      </c>
      <c r="V127" s="16" t="str" cm="1">
        <f t="array" ref="V127">IFERROR(_xlfn.IFS(I127="Turnover",1),"")</f>
        <v/>
      </c>
      <c r="W127" s="16" t="str" cm="1">
        <f t="array" ref="W127">IFERROR(_xlfn.IFS(I127="Steal",1),"")</f>
        <v/>
      </c>
      <c r="X127" s="16" t="str" cm="1">
        <f t="array" ref="X127">IFERROR(_xlfn.IFS(I127="Block",1),"")</f>
        <v/>
      </c>
      <c r="Y127" s="16" t="str" cm="1">
        <f t="array" ref="Y127">IFERROR(_xlfn.IFS(I127="Block Received",1),"")</f>
        <v/>
      </c>
      <c r="Z127" s="16" cm="1">
        <f t="array" ref="Z127">IFERROR(_xlfn.IFS(I127="Foul",1,I127="Foul Technical",1,I127="Offensive Foul",1),"")</f>
        <v>1</v>
      </c>
      <c r="AA127" s="16" t="str" cm="1">
        <f t="array" ref="AA127">IFERROR(_xlfn.IFS(I127="Foul Received",1),"")</f>
        <v/>
      </c>
      <c r="AB127" s="49" t="str" cm="1">
        <f t="array" ref="AB127">IFERROR(_xlfn.IFS(I127="Starting lineup",C127,I127="Substitution - In",C127),"")</f>
        <v/>
      </c>
      <c r="AC127" s="46" t="str" cm="1">
        <f t="array" ref="AC127">IFERROR(_xlfn.IFS(I127="Finishing lineup",C127,I127="Substitution - Out",C127),"")</f>
        <v/>
      </c>
      <c r="AD127" s="46" t="str" cm="1">
        <f t="array" ref="AD127">IF(AC127&lt;&gt;"",LOOKUP(2,1/((G$2:G126=G127)*(AB$2:AB126&lt;&gt;"")),AB$2:AB126)-AC127,"")</f>
        <v/>
      </c>
      <c r="AE127" s="50" t="str" cm="1">
        <f t="array" ref="AE127">IF(AC127&lt;&gt;"",LOOKUP(2,1/((G$2:G126=G127)*(AB$2:AB126&lt;&gt;"")),AB$2:AB126)-AC127,"")</f>
        <v/>
      </c>
    </row>
    <row r="128" spans="1:31" hidden="1" x14ac:dyDescent="0.35">
      <c r="A128" s="19">
        <v>1</v>
      </c>
      <c r="B128" s="19">
        <v>127</v>
      </c>
      <c r="C128" s="46">
        <v>1.7013888888888888E-3</v>
      </c>
      <c r="D128" s="16">
        <f t="shared" si="11"/>
        <v>2</v>
      </c>
      <c r="E128" s="16">
        <f t="shared" si="5"/>
        <v>27</v>
      </c>
      <c r="F128" s="19" t="s">
        <v>16</v>
      </c>
      <c r="G128" s="16" t="s">
        <v>18</v>
      </c>
      <c r="H128" s="16" t="str">
        <f>_xlfn.XLOOKUP(G128,'1-Players'!$A$2:$A$27,'1-Players'!$D$2:$D$27,"")</f>
        <v>Corey Walden</v>
      </c>
      <c r="I128" s="19" t="s">
        <v>85</v>
      </c>
      <c r="J128" s="19" t="s">
        <v>60</v>
      </c>
      <c r="K128" s="16" cm="1">
        <f t="array" ref="K128">IFERROR(_xlfn.IFS(I128="Free Throw",1,I128="2-Point Shot",2,I128="Dunk",2,I128="3-Point Shot",3),"")</f>
        <v>1</v>
      </c>
      <c r="L128" s="16" cm="1">
        <f t="array" ref="L128">IFERROR(_xlfn.IFS(J128="Made",1,J128="Missed",0),"")</f>
        <v>1</v>
      </c>
      <c r="M128" s="16">
        <f t="shared" si="6"/>
        <v>1</v>
      </c>
      <c r="R128" s="16" t="str">
        <f t="shared" si="7"/>
        <v>N</v>
      </c>
      <c r="S128" s="16" t="str" cm="1">
        <f t="array" ref="S128">IFERROR(_xlfn.IFS(I128="Offensive Rebound",1),"")</f>
        <v/>
      </c>
      <c r="T128" s="16" t="str" cm="1">
        <f t="array" ref="T128">IFERROR(_xlfn.IFS(I128="Defensive Rebound",1),"")</f>
        <v/>
      </c>
      <c r="U128" s="16" t="str" cm="1">
        <f t="array" ref="U128">IFERROR(_xlfn.IFS(I128="Assist",1),"")</f>
        <v/>
      </c>
      <c r="V128" s="16" t="str" cm="1">
        <f t="array" ref="V128">IFERROR(_xlfn.IFS(I128="Turnover",1),"")</f>
        <v/>
      </c>
      <c r="W128" s="16" t="str" cm="1">
        <f t="array" ref="W128">IFERROR(_xlfn.IFS(I128="Steal",1),"")</f>
        <v/>
      </c>
      <c r="X128" s="16" t="str" cm="1">
        <f t="array" ref="X128">IFERROR(_xlfn.IFS(I128="Block",1),"")</f>
        <v/>
      </c>
      <c r="Y128" s="16" t="str" cm="1">
        <f t="array" ref="Y128">IFERROR(_xlfn.IFS(I128="Block Received",1),"")</f>
        <v/>
      </c>
      <c r="Z128" s="16" t="str" cm="1">
        <f t="array" ref="Z128">IFERROR(_xlfn.IFS(I128="Foul",1,I128="Foul Technical",1,I128="Offensive Foul",1),"")</f>
        <v/>
      </c>
      <c r="AA128" s="16" t="str" cm="1">
        <f t="array" ref="AA128">IFERROR(_xlfn.IFS(I128="Foul Received",1),"")</f>
        <v/>
      </c>
      <c r="AB128" s="49" t="str" cm="1">
        <f t="array" ref="AB128">IFERROR(_xlfn.IFS(I128="Starting lineup",C128,I128="Substitution - In",C128),"")</f>
        <v/>
      </c>
      <c r="AC128" s="46" t="str" cm="1">
        <f t="array" ref="AC128">IFERROR(_xlfn.IFS(I128="Finishing lineup",C128,I128="Substitution - Out",C128),"")</f>
        <v/>
      </c>
      <c r="AD128" s="46" t="str" cm="1">
        <f t="array" ref="AD128">IF(AC128&lt;&gt;"",LOOKUP(2,1/((G$2:G127=G128)*(AB$2:AB127&lt;&gt;"")),AB$2:AB127)-AC128,"")</f>
        <v/>
      </c>
      <c r="AE128" s="50" t="str" cm="1">
        <f t="array" ref="AE128">IF(AC128&lt;&gt;"",LOOKUP(2,1/((G$2:G127=G128)*(AB$2:AB127&lt;&gt;"")),AB$2:AB127)-AC128,"")</f>
        <v/>
      </c>
    </row>
    <row r="129" spans="1:31" hidden="1" x14ac:dyDescent="0.35">
      <c r="A129" s="16">
        <v>1</v>
      </c>
      <c r="B129" s="19">
        <v>128</v>
      </c>
      <c r="C129" s="46">
        <v>1.7013888888888888E-3</v>
      </c>
      <c r="D129" s="16">
        <f t="shared" si="11"/>
        <v>2</v>
      </c>
      <c r="E129" s="16">
        <f t="shared" si="5"/>
        <v>27</v>
      </c>
      <c r="F129" s="19" t="s">
        <v>46</v>
      </c>
      <c r="G129" s="16" t="s">
        <v>120</v>
      </c>
      <c r="H129" s="16" t="str">
        <f>_xlfn.XLOOKUP(G129,'1-Players'!$A$2:$A$27,'1-Players'!$D$2:$D$27,"")</f>
        <v>TEAM - Manresa</v>
      </c>
      <c r="I129" s="19" t="s">
        <v>112</v>
      </c>
      <c r="K129" s="16" t="str" cm="1">
        <f t="array" ref="K129">IFERROR(_xlfn.IFS(I129="Free Throw",1,I129="2-Point Shot",2,I129="Dunk",2,I129="3-Point Shot",3),"")</f>
        <v/>
      </c>
      <c r="L129" s="16" t="str" cm="1">
        <f t="array" ref="L129">IFERROR(_xlfn.IFS(J129="Made",1,J129="Missed",0),"")</f>
        <v/>
      </c>
      <c r="M129" s="16" t="str">
        <f t="shared" si="6"/>
        <v/>
      </c>
      <c r="R129" s="16" t="str">
        <f t="shared" si="7"/>
        <v/>
      </c>
      <c r="S129" s="16" t="str" cm="1">
        <f t="array" ref="S129">IFERROR(_xlfn.IFS(I129="Offensive Rebound",1),"")</f>
        <v/>
      </c>
      <c r="T129" s="16" t="str" cm="1">
        <f t="array" ref="T129">IFERROR(_xlfn.IFS(I129="Defensive Rebound",1),"")</f>
        <v/>
      </c>
      <c r="U129" s="16" t="str" cm="1">
        <f t="array" ref="U129">IFERROR(_xlfn.IFS(I129="Assist",1),"")</f>
        <v/>
      </c>
      <c r="V129" s="16" cm="1">
        <f t="array" ref="V129">IFERROR(_xlfn.IFS(I129="Turnover",1),"")</f>
        <v>1</v>
      </c>
      <c r="W129" s="16" t="str" cm="1">
        <f t="array" ref="W129">IFERROR(_xlfn.IFS(I129="Steal",1),"")</f>
        <v/>
      </c>
      <c r="X129" s="16" t="str" cm="1">
        <f t="array" ref="X129">IFERROR(_xlfn.IFS(I129="Block",1),"")</f>
        <v/>
      </c>
      <c r="Y129" s="16" t="str" cm="1">
        <f t="array" ref="Y129">IFERROR(_xlfn.IFS(I129="Block Received",1),"")</f>
        <v/>
      </c>
      <c r="Z129" s="16" t="str" cm="1">
        <f t="array" ref="Z129">IFERROR(_xlfn.IFS(I129="Foul",1,I129="Foul Technical",1,I129="Offensive Foul",1),"")</f>
        <v/>
      </c>
      <c r="AA129" s="16" t="str" cm="1">
        <f t="array" ref="AA129">IFERROR(_xlfn.IFS(I129="Foul Received",1),"")</f>
        <v/>
      </c>
      <c r="AB129" s="49" t="str" cm="1">
        <f t="array" ref="AB129">IFERROR(_xlfn.IFS(I129="Starting lineup",C129,I129="Substitution - In",C129),"")</f>
        <v/>
      </c>
      <c r="AC129" s="46" t="str" cm="1">
        <f t="array" ref="AC129">IFERROR(_xlfn.IFS(I129="Finishing lineup",C129,I129="Substitution - Out",C129),"")</f>
        <v/>
      </c>
      <c r="AD129" s="46" t="str" cm="1">
        <f t="array" ref="AD129">IF(AC129&lt;&gt;"",LOOKUP(2,1/((G$2:G128=G129)*(AB$2:AB128&lt;&gt;"")),AB$2:AB128)-AC129,"")</f>
        <v/>
      </c>
      <c r="AE129" s="50" t="str" cm="1">
        <f t="array" ref="AE129">IF(AC129&lt;&gt;"",LOOKUP(2,1/((G$2:G128=G129)*(AB$2:AB128&lt;&gt;"")),AB$2:AB128)-AC129,"")</f>
        <v/>
      </c>
    </row>
    <row r="130" spans="1:31" hidden="1" x14ac:dyDescent="0.35">
      <c r="A130" s="16">
        <v>1</v>
      </c>
      <c r="B130" s="19">
        <v>129</v>
      </c>
      <c r="C130" s="46">
        <v>1.6087962962962963E-3</v>
      </c>
      <c r="D130" s="16">
        <f t="shared" si="11"/>
        <v>2</v>
      </c>
      <c r="E130" s="16">
        <f t="shared" si="5"/>
        <v>19</v>
      </c>
      <c r="F130" s="19" t="s">
        <v>16</v>
      </c>
      <c r="G130" s="16" t="s">
        <v>45</v>
      </c>
      <c r="H130" s="16" t="str">
        <f>_xlfn.XLOOKUP(G130,'1-Players'!$A$2:$A$27,'1-Players'!$D$2:$D$27,"")</f>
        <v>Gyorgy Golomán</v>
      </c>
      <c r="I130" s="19" t="s">
        <v>114</v>
      </c>
      <c r="K130" s="16" t="str" cm="1">
        <f t="array" ref="K130">IFERROR(_xlfn.IFS(I130="Free Throw",1,I130="2-Point Shot",2,I130="Dunk",2,I130="3-Point Shot",3),"")</f>
        <v/>
      </c>
      <c r="L130" s="16" t="str" cm="1">
        <f t="array" ref="L130">IFERROR(_xlfn.IFS(J130="Made",1,J130="Missed",0),"")</f>
        <v/>
      </c>
      <c r="M130" s="16" t="str">
        <f t="shared" si="6"/>
        <v/>
      </c>
      <c r="R130" s="16" t="str">
        <f t="shared" si="7"/>
        <v/>
      </c>
      <c r="S130" s="16" t="str" cm="1">
        <f t="array" ref="S130">IFERROR(_xlfn.IFS(I130="Offensive Rebound",1),"")</f>
        <v/>
      </c>
      <c r="T130" s="16" t="str" cm="1">
        <f t="array" ref="T130">IFERROR(_xlfn.IFS(I130="Defensive Rebound",1),"")</f>
        <v/>
      </c>
      <c r="U130" s="16" t="str" cm="1">
        <f t="array" ref="U130">IFERROR(_xlfn.IFS(I130="Assist",1),"")</f>
        <v/>
      </c>
      <c r="V130" s="16" t="str" cm="1">
        <f t="array" ref="V130">IFERROR(_xlfn.IFS(I130="Turnover",1),"")</f>
        <v/>
      </c>
      <c r="W130" s="16" t="str" cm="1">
        <f t="array" ref="W130">IFERROR(_xlfn.IFS(I130="Steal",1),"")</f>
        <v/>
      </c>
      <c r="X130" s="16" t="str" cm="1">
        <f t="array" ref="X130">IFERROR(_xlfn.IFS(I130="Block",1),"")</f>
        <v/>
      </c>
      <c r="Y130" s="16" t="str" cm="1">
        <f t="array" ref="Y130">IFERROR(_xlfn.IFS(I130="Block Received",1),"")</f>
        <v/>
      </c>
      <c r="Z130" s="16" cm="1">
        <f t="array" ref="Z130">IFERROR(_xlfn.IFS(I130="Foul",1,I130="Foul Technical",1,I130="Offensive Foul",1),"")</f>
        <v>1</v>
      </c>
      <c r="AA130" s="16" t="str" cm="1">
        <f t="array" ref="AA130">IFERROR(_xlfn.IFS(I130="Foul Received",1),"")</f>
        <v/>
      </c>
      <c r="AB130" s="49" t="str" cm="1">
        <f t="array" ref="AB130">IFERROR(_xlfn.IFS(I130="Starting lineup",C130,I130="Substitution - In",C130),"")</f>
        <v/>
      </c>
      <c r="AC130" s="46" t="str" cm="1">
        <f t="array" ref="AC130">IFERROR(_xlfn.IFS(I130="Finishing lineup",C130,I130="Substitution - Out",C130),"")</f>
        <v/>
      </c>
      <c r="AD130" s="46" t="str" cm="1">
        <f t="array" ref="AD130">IF(AC130&lt;&gt;"",LOOKUP(2,1/((G$2:G129=G130)*(AB$2:AB129&lt;&gt;"")),AB$2:AB129)-AC130,"")</f>
        <v/>
      </c>
      <c r="AE130" s="50" t="str" cm="1">
        <f t="array" ref="AE130">IF(AC130&lt;&gt;"",LOOKUP(2,1/((G$2:G129=G130)*(AB$2:AB129&lt;&gt;"")),AB$2:AB129)-AC130,"")</f>
        <v/>
      </c>
    </row>
    <row r="131" spans="1:31" hidden="1" x14ac:dyDescent="0.35">
      <c r="A131" s="19">
        <v>1</v>
      </c>
      <c r="B131" s="19">
        <v>130</v>
      </c>
      <c r="C131" s="46">
        <v>1.6087962962962963E-3</v>
      </c>
      <c r="D131" s="16">
        <f t="shared" si="11"/>
        <v>2</v>
      </c>
      <c r="E131" s="16">
        <f t="shared" ref="E131:E177" si="12">SECOND(C131)</f>
        <v>19</v>
      </c>
      <c r="F131" s="19" t="s">
        <v>16</v>
      </c>
      <c r="G131" s="16" t="s">
        <v>45</v>
      </c>
      <c r="H131" s="16" t="str">
        <f>_xlfn.XLOOKUP(G131,'1-Players'!$A$2:$A$27,'1-Players'!$D$2:$D$27,"")</f>
        <v>Gyorgy Golomán</v>
      </c>
      <c r="I131" s="19" t="s">
        <v>112</v>
      </c>
      <c r="K131" s="16" t="str" cm="1">
        <f t="array" ref="K131">IFERROR(_xlfn.IFS(I131="Free Throw",1,I131="2-Point Shot",2,I131="Dunk",2,I131="3-Point Shot",3),"")</f>
        <v/>
      </c>
      <c r="L131" s="16" t="str" cm="1">
        <f t="array" ref="L131">IFERROR(_xlfn.IFS(J131="Made",1,J131="Missed",0),"")</f>
        <v/>
      </c>
      <c r="M131" s="16" t="str">
        <f t="shared" ref="M131:M194" si="13">IFERROR(K131*L131,"")</f>
        <v/>
      </c>
      <c r="R131" s="16" t="str">
        <f t="shared" ref="R131:R194" si="14">IF(J131&lt;&gt;"Made","",IF(I132="Assist","S","N"))</f>
        <v/>
      </c>
      <c r="S131" s="16" t="str" cm="1">
        <f t="array" ref="S131">IFERROR(_xlfn.IFS(I131="Offensive Rebound",1),"")</f>
        <v/>
      </c>
      <c r="T131" s="16" t="str" cm="1">
        <f t="array" ref="T131">IFERROR(_xlfn.IFS(I131="Defensive Rebound",1),"")</f>
        <v/>
      </c>
      <c r="U131" s="16" t="str" cm="1">
        <f t="array" ref="U131">IFERROR(_xlfn.IFS(I131="Assist",1),"")</f>
        <v/>
      </c>
      <c r="V131" s="16" cm="1">
        <f t="array" ref="V131">IFERROR(_xlfn.IFS(I131="Turnover",1),"")</f>
        <v>1</v>
      </c>
      <c r="W131" s="16" t="str" cm="1">
        <f t="array" ref="W131">IFERROR(_xlfn.IFS(I131="Steal",1),"")</f>
        <v/>
      </c>
      <c r="X131" s="16" t="str" cm="1">
        <f t="array" ref="X131">IFERROR(_xlfn.IFS(I131="Block",1),"")</f>
        <v/>
      </c>
      <c r="Y131" s="16" t="str" cm="1">
        <f t="array" ref="Y131">IFERROR(_xlfn.IFS(I131="Block Received",1),"")</f>
        <v/>
      </c>
      <c r="Z131" s="16" t="str" cm="1">
        <f t="array" ref="Z131">IFERROR(_xlfn.IFS(I131="Foul",1,I131="Foul Technical",1,I131="Offensive Foul",1),"")</f>
        <v/>
      </c>
      <c r="AA131" s="16" t="str" cm="1">
        <f t="array" ref="AA131">IFERROR(_xlfn.IFS(I131="Foul Received",1),"")</f>
        <v/>
      </c>
      <c r="AB131" s="49" t="str" cm="1">
        <f t="array" ref="AB131">IFERROR(_xlfn.IFS(I131="Starting lineup",C131,I131="Substitution - In",C131),"")</f>
        <v/>
      </c>
      <c r="AC131" s="46" t="str" cm="1">
        <f t="array" ref="AC131">IFERROR(_xlfn.IFS(I131="Finishing lineup",C131,I131="Substitution - Out",C131),"")</f>
        <v/>
      </c>
      <c r="AD131" s="46" t="str" cm="1">
        <f t="array" ref="AD131">IF(AC131&lt;&gt;"",LOOKUP(2,1/((G$2:G130=G131)*(AB$2:AB130&lt;&gt;"")),AB$2:AB130)-AC131,"")</f>
        <v/>
      </c>
      <c r="AE131" s="50" t="str" cm="1">
        <f t="array" ref="AE131">IF(AC131&lt;&gt;"",LOOKUP(2,1/((G$2:G130=G131)*(AB$2:AB130&lt;&gt;"")),AB$2:AB130)-AC131,"")</f>
        <v/>
      </c>
    </row>
    <row r="132" spans="1:31" hidden="1" x14ac:dyDescent="0.35">
      <c r="A132" s="16">
        <v>1</v>
      </c>
      <c r="B132" s="19">
        <v>131</v>
      </c>
      <c r="C132" s="46">
        <v>1.6087962962962963E-3</v>
      </c>
      <c r="D132" s="16">
        <f t="shared" si="11"/>
        <v>2</v>
      </c>
      <c r="E132" s="16">
        <f t="shared" si="12"/>
        <v>19</v>
      </c>
      <c r="F132" s="19" t="s">
        <v>46</v>
      </c>
      <c r="G132" s="16" t="s">
        <v>68</v>
      </c>
      <c r="H132" s="16" t="str">
        <f>_xlfn.XLOOKUP(G132,'1-Players'!$A$2:$A$27,'1-Players'!$D$2:$D$27,"")</f>
        <v>Dani Pérez</v>
      </c>
      <c r="I132" s="19" t="s">
        <v>108</v>
      </c>
      <c r="K132" s="16" t="str" cm="1">
        <f t="array" ref="K132">IFERROR(_xlfn.IFS(I132="Free Throw",1,I132="2-Point Shot",2,I132="Dunk",2,I132="3-Point Shot",3),"")</f>
        <v/>
      </c>
      <c r="L132" s="16" t="str" cm="1">
        <f t="array" ref="L132">IFERROR(_xlfn.IFS(J132="Made",1,J132="Missed",0),"")</f>
        <v/>
      </c>
      <c r="M132" s="16" t="str">
        <f t="shared" si="13"/>
        <v/>
      </c>
      <c r="R132" s="16" t="str">
        <f t="shared" si="14"/>
        <v/>
      </c>
      <c r="S132" s="16" t="str" cm="1">
        <f t="array" ref="S132">IFERROR(_xlfn.IFS(I132="Offensive Rebound",1),"")</f>
        <v/>
      </c>
      <c r="T132" s="16" t="str" cm="1">
        <f t="array" ref="T132">IFERROR(_xlfn.IFS(I132="Defensive Rebound",1),"")</f>
        <v/>
      </c>
      <c r="U132" s="16" t="str" cm="1">
        <f t="array" ref="U132">IFERROR(_xlfn.IFS(I132="Assist",1),"")</f>
        <v/>
      </c>
      <c r="V132" s="16" t="str" cm="1">
        <f t="array" ref="V132">IFERROR(_xlfn.IFS(I132="Turnover",1),"")</f>
        <v/>
      </c>
      <c r="W132" s="16" t="str" cm="1">
        <f t="array" ref="W132">IFERROR(_xlfn.IFS(I132="Steal",1),"")</f>
        <v/>
      </c>
      <c r="X132" s="16" t="str" cm="1">
        <f t="array" ref="X132">IFERROR(_xlfn.IFS(I132="Block",1),"")</f>
        <v/>
      </c>
      <c r="Y132" s="16" t="str" cm="1">
        <f t="array" ref="Y132">IFERROR(_xlfn.IFS(I132="Block Received",1),"")</f>
        <v/>
      </c>
      <c r="Z132" s="16" t="str" cm="1">
        <f t="array" ref="Z132">IFERROR(_xlfn.IFS(I132="Foul",1,I132="Foul Technical",1,I132="Offensive Foul",1),"")</f>
        <v/>
      </c>
      <c r="AA132" s="16" cm="1">
        <f t="array" ref="AA132">IFERROR(_xlfn.IFS(I132="Foul Received",1),"")</f>
        <v>1</v>
      </c>
      <c r="AB132" s="49" t="str" cm="1">
        <f t="array" ref="AB132">IFERROR(_xlfn.IFS(I132="Starting lineup",C132,I132="Substitution - In",C132),"")</f>
        <v/>
      </c>
      <c r="AC132" s="46" t="str" cm="1">
        <f t="array" ref="AC132">IFERROR(_xlfn.IFS(I132="Finishing lineup",C132,I132="Substitution - Out",C132),"")</f>
        <v/>
      </c>
      <c r="AD132" s="46" t="str" cm="1">
        <f t="array" ref="AD132">IF(AC132&lt;&gt;"",LOOKUP(2,1/((G$2:G131=G132)*(AB$2:AB131&lt;&gt;"")),AB$2:AB131)-AC132,"")</f>
        <v/>
      </c>
      <c r="AE132" s="50" t="str" cm="1">
        <f t="array" ref="AE132">IF(AC132&lt;&gt;"",LOOKUP(2,1/((G$2:G131=G132)*(AB$2:AB131&lt;&gt;"")),AB$2:AB131)-AC132,"")</f>
        <v/>
      </c>
    </row>
    <row r="133" spans="1:31" hidden="1" x14ac:dyDescent="0.35">
      <c r="A133" s="16">
        <v>1</v>
      </c>
      <c r="B133" s="19">
        <v>132</v>
      </c>
      <c r="C133" s="46">
        <v>1.6087962962962963E-3</v>
      </c>
      <c r="D133" s="16">
        <f t="shared" si="11"/>
        <v>2</v>
      </c>
      <c r="E133" s="16">
        <f t="shared" si="12"/>
        <v>19</v>
      </c>
      <c r="F133" s="19" t="s">
        <v>16</v>
      </c>
      <c r="G133" s="16" t="s">
        <v>24</v>
      </c>
      <c r="H133" s="16" t="str">
        <f>_xlfn.XLOOKUP(G133,'1-Players'!$A$2:$A$27,'1-Players'!$D$2:$D$27,"")</f>
        <v>Kristers Zoriks</v>
      </c>
      <c r="I133" s="19" t="s">
        <v>110</v>
      </c>
      <c r="K133" s="16" t="str" cm="1">
        <f t="array" ref="K133">IFERROR(_xlfn.IFS(I133="Free Throw",1,I133="2-Point Shot",2,I133="Dunk",2,I133="3-Point Shot",3),"")</f>
        <v/>
      </c>
      <c r="L133" s="16" t="str" cm="1">
        <f t="array" ref="L133">IFERROR(_xlfn.IFS(J133="Made",1,J133="Missed",0),"")</f>
        <v/>
      </c>
      <c r="M133" s="16" t="str">
        <f t="shared" si="13"/>
        <v/>
      </c>
      <c r="R133" s="16" t="str">
        <f t="shared" si="14"/>
        <v/>
      </c>
      <c r="S133" s="16" t="str" cm="1">
        <f t="array" ref="S133">IFERROR(_xlfn.IFS(I133="Offensive Rebound",1),"")</f>
        <v/>
      </c>
      <c r="T133" s="16" t="str" cm="1">
        <f t="array" ref="T133">IFERROR(_xlfn.IFS(I133="Defensive Rebound",1),"")</f>
        <v/>
      </c>
      <c r="U133" s="16" t="str" cm="1">
        <f t="array" ref="U133">IFERROR(_xlfn.IFS(I133="Assist",1),"")</f>
        <v/>
      </c>
      <c r="V133" s="16" t="str" cm="1">
        <f t="array" ref="V133">IFERROR(_xlfn.IFS(I133="Turnover",1),"")</f>
        <v/>
      </c>
      <c r="W133" s="16" t="str" cm="1">
        <f t="array" ref="W133">IFERROR(_xlfn.IFS(I133="Steal",1),"")</f>
        <v/>
      </c>
      <c r="X133" s="16" t="str" cm="1">
        <f t="array" ref="X133">IFERROR(_xlfn.IFS(I133="Block",1),"")</f>
        <v/>
      </c>
      <c r="Y133" s="16" t="str" cm="1">
        <f t="array" ref="Y133">IFERROR(_xlfn.IFS(I133="Block Received",1),"")</f>
        <v/>
      </c>
      <c r="Z133" s="16" t="str" cm="1">
        <f t="array" ref="Z133">IFERROR(_xlfn.IFS(I133="Foul",1,I133="Foul Technical",1,I133="Offensive Foul",1),"")</f>
        <v/>
      </c>
      <c r="AA133" s="16" t="str" cm="1">
        <f t="array" ref="AA133">IFERROR(_xlfn.IFS(I133="Foul Received",1),"")</f>
        <v/>
      </c>
      <c r="AB133" s="49" t="str" cm="1">
        <f t="array" ref="AB133">IFERROR(_xlfn.IFS(I133="Starting lineup",C133,I133="Substitution - In",C133),"")</f>
        <v/>
      </c>
      <c r="AC133" s="46" cm="1">
        <f t="array" ref="AC133">IFERROR(_xlfn.IFS(I133="Finishing lineup",C133,I133="Substitution - Out",C133),"")</f>
        <v>1.6087962962962963E-3</v>
      </c>
      <c r="AD133" s="46" cm="1">
        <f t="array" ref="AD133">IF(AC133&lt;&gt;"",LOOKUP(2,1/((G$2:G132=G133)*(AB$2:AB132&lt;&gt;"")),AB$2:AB132)-AC133,"")</f>
        <v>2.3842592592592587E-3</v>
      </c>
      <c r="AE133" s="50" cm="1">
        <f t="array" ref="AE133">IF(AC133&lt;&gt;"",LOOKUP(2,1/((G$2:G132=G133)*(AB$2:AB132&lt;&gt;"")),AB$2:AB132)-AC133,"")</f>
        <v>2.3842592592592587E-3</v>
      </c>
    </row>
    <row r="134" spans="1:31" hidden="1" x14ac:dyDescent="0.35">
      <c r="A134" s="19">
        <v>1</v>
      </c>
      <c r="B134" s="19">
        <v>133</v>
      </c>
      <c r="C134" s="46">
        <v>1.6087962962962963E-3</v>
      </c>
      <c r="D134" s="16">
        <f t="shared" si="11"/>
        <v>2</v>
      </c>
      <c r="E134" s="16">
        <f t="shared" si="12"/>
        <v>19</v>
      </c>
      <c r="F134" s="19" t="s">
        <v>16</v>
      </c>
      <c r="G134" s="16" t="s">
        <v>22</v>
      </c>
      <c r="H134" s="16" t="str">
        <f>_xlfn.XLOOKUP(G134,'1-Players'!$A$2:$A$27,'1-Players'!$D$2:$D$27,"")</f>
        <v>Oriol Paulí</v>
      </c>
      <c r="I134" s="19" t="s">
        <v>111</v>
      </c>
      <c r="K134" s="16" t="str" cm="1">
        <f t="array" ref="K134">IFERROR(_xlfn.IFS(I134="Free Throw",1,I134="2-Point Shot",2,I134="Dunk",2,I134="3-Point Shot",3),"")</f>
        <v/>
      </c>
      <c r="L134" s="16" t="str" cm="1">
        <f t="array" ref="L134">IFERROR(_xlfn.IFS(J134="Made",1,J134="Missed",0),"")</f>
        <v/>
      </c>
      <c r="M134" s="16" t="str">
        <f t="shared" si="13"/>
        <v/>
      </c>
      <c r="R134" s="16" t="str">
        <f t="shared" si="14"/>
        <v/>
      </c>
      <c r="S134" s="16" t="str" cm="1">
        <f t="array" ref="S134">IFERROR(_xlfn.IFS(I134="Offensive Rebound",1),"")</f>
        <v/>
      </c>
      <c r="T134" s="16" t="str" cm="1">
        <f t="array" ref="T134">IFERROR(_xlfn.IFS(I134="Defensive Rebound",1),"")</f>
        <v/>
      </c>
      <c r="U134" s="16" t="str" cm="1">
        <f t="array" ref="U134">IFERROR(_xlfn.IFS(I134="Assist",1),"")</f>
        <v/>
      </c>
      <c r="V134" s="16" t="str" cm="1">
        <f t="array" ref="V134">IFERROR(_xlfn.IFS(I134="Turnover",1),"")</f>
        <v/>
      </c>
      <c r="W134" s="16" t="str" cm="1">
        <f t="array" ref="W134">IFERROR(_xlfn.IFS(I134="Steal",1),"")</f>
        <v/>
      </c>
      <c r="X134" s="16" t="str" cm="1">
        <f t="array" ref="X134">IFERROR(_xlfn.IFS(I134="Block",1),"")</f>
        <v/>
      </c>
      <c r="Y134" s="16" t="str" cm="1">
        <f t="array" ref="Y134">IFERROR(_xlfn.IFS(I134="Block Received",1),"")</f>
        <v/>
      </c>
      <c r="Z134" s="16" t="str" cm="1">
        <f t="array" ref="Z134">IFERROR(_xlfn.IFS(I134="Foul",1,I134="Foul Technical",1,I134="Offensive Foul",1),"")</f>
        <v/>
      </c>
      <c r="AA134" s="16" t="str" cm="1">
        <f t="array" ref="AA134">IFERROR(_xlfn.IFS(I134="Foul Received",1),"")</f>
        <v/>
      </c>
      <c r="AB134" s="49" cm="1">
        <f t="array" ref="AB134">IFERROR(_xlfn.IFS(I134="Starting lineup",C134,I134="Substitution - In",C134),"")</f>
        <v>1.6087962962962963E-3</v>
      </c>
      <c r="AC134" s="46" t="str" cm="1">
        <f t="array" ref="AC134">IFERROR(_xlfn.IFS(I134="Finishing lineup",C134,I134="Substitution - Out",C134),"")</f>
        <v/>
      </c>
      <c r="AD134" s="46" t="str" cm="1">
        <f t="array" ref="AD134">IF(AC134&lt;&gt;"",LOOKUP(2,1/((G$2:G133=G134)*(AB$2:AB133&lt;&gt;"")),AB$2:AB133)-AC134,"")</f>
        <v/>
      </c>
      <c r="AE134" s="50" t="str" cm="1">
        <f t="array" ref="AE134">IF(AC134&lt;&gt;"",LOOKUP(2,1/((G$2:G133=G134)*(AB$2:AB133&lt;&gt;"")),AB$2:AB133)-AC134,"")</f>
        <v/>
      </c>
    </row>
    <row r="135" spans="1:31" hidden="1" x14ac:dyDescent="0.35">
      <c r="A135" s="16">
        <v>1</v>
      </c>
      <c r="B135" s="19">
        <v>134</v>
      </c>
      <c r="C135" s="46">
        <v>1.5509259259259259E-3</v>
      </c>
      <c r="D135" s="16">
        <f t="shared" si="11"/>
        <v>2</v>
      </c>
      <c r="E135" s="16">
        <f t="shared" si="12"/>
        <v>14</v>
      </c>
      <c r="F135" s="19" t="s">
        <v>16</v>
      </c>
      <c r="G135" s="16" t="s">
        <v>45</v>
      </c>
      <c r="H135" s="16" t="str">
        <f>_xlfn.XLOOKUP(G135,'1-Players'!$A$2:$A$27,'1-Players'!$D$2:$D$27,"")</f>
        <v>Gyorgy Golomán</v>
      </c>
      <c r="I135" s="19" t="s">
        <v>106</v>
      </c>
      <c r="J135" s="19" t="s">
        <v>107</v>
      </c>
      <c r="K135" s="16" t="str" cm="1">
        <f t="array" ref="K135">IFERROR(_xlfn.IFS(I135="Free Throw",1,I135="2-Point Shot",2,I135="Dunk",2,I135="3-Point Shot",3),"")</f>
        <v/>
      </c>
      <c r="L135" s="16" t="str" cm="1">
        <f t="array" ref="L135">IFERROR(_xlfn.IFS(J135="Made",1,J135="Missed",0),"")</f>
        <v/>
      </c>
      <c r="M135" s="16" t="str">
        <f t="shared" si="13"/>
        <v/>
      </c>
      <c r="R135" s="16" t="str">
        <f t="shared" si="14"/>
        <v/>
      </c>
      <c r="S135" s="16" t="str" cm="1">
        <f t="array" ref="S135">IFERROR(_xlfn.IFS(I135="Offensive Rebound",1),"")</f>
        <v/>
      </c>
      <c r="T135" s="16" t="str" cm="1">
        <f t="array" ref="T135">IFERROR(_xlfn.IFS(I135="Defensive Rebound",1),"")</f>
        <v/>
      </c>
      <c r="U135" s="16" t="str" cm="1">
        <f t="array" ref="U135">IFERROR(_xlfn.IFS(I135="Assist",1),"")</f>
        <v/>
      </c>
      <c r="V135" s="16" t="str" cm="1">
        <f t="array" ref="V135">IFERROR(_xlfn.IFS(I135="Turnover",1),"")</f>
        <v/>
      </c>
      <c r="W135" s="16" t="str" cm="1">
        <f t="array" ref="W135">IFERROR(_xlfn.IFS(I135="Steal",1),"")</f>
        <v/>
      </c>
      <c r="X135" s="16" t="str" cm="1">
        <f t="array" ref="X135">IFERROR(_xlfn.IFS(I135="Block",1),"")</f>
        <v/>
      </c>
      <c r="Y135" s="16" t="str" cm="1">
        <f t="array" ref="Y135">IFERROR(_xlfn.IFS(I135="Block Received",1),"")</f>
        <v/>
      </c>
      <c r="Z135" s="16" cm="1">
        <f t="array" ref="Z135">IFERROR(_xlfn.IFS(I135="Foul",1,I135="Foul Technical",1,I135="Offensive Foul",1),"")</f>
        <v>1</v>
      </c>
      <c r="AA135" s="16" t="str" cm="1">
        <f t="array" ref="AA135">IFERROR(_xlfn.IFS(I135="Foul Received",1),"")</f>
        <v/>
      </c>
      <c r="AB135" s="49" t="str" cm="1">
        <f t="array" ref="AB135">IFERROR(_xlfn.IFS(I135="Starting lineup",C135,I135="Substitution - In",C135),"")</f>
        <v/>
      </c>
      <c r="AC135" s="46" t="str" cm="1">
        <f t="array" ref="AC135">IFERROR(_xlfn.IFS(I135="Finishing lineup",C135,I135="Substitution - Out",C135),"")</f>
        <v/>
      </c>
      <c r="AD135" s="46" t="str" cm="1">
        <f t="array" ref="AD135">IF(AC135&lt;&gt;"",LOOKUP(2,1/((G$2:G134=G135)*(AB$2:AB134&lt;&gt;"")),AB$2:AB134)-AC135,"")</f>
        <v/>
      </c>
      <c r="AE135" s="50" t="str" cm="1">
        <f t="array" ref="AE135">IF(AC135&lt;&gt;"",LOOKUP(2,1/((G$2:G134=G135)*(AB$2:AB134&lt;&gt;"")),AB$2:AB134)-AC135,"")</f>
        <v/>
      </c>
    </row>
    <row r="136" spans="1:31" hidden="1" x14ac:dyDescent="0.35">
      <c r="A136" s="16">
        <v>1</v>
      </c>
      <c r="B136" s="19">
        <v>135</v>
      </c>
      <c r="C136" s="46">
        <v>1.5509259259259259E-3</v>
      </c>
      <c r="D136" s="16">
        <f t="shared" si="11"/>
        <v>2</v>
      </c>
      <c r="E136" s="16">
        <f t="shared" si="12"/>
        <v>14</v>
      </c>
      <c r="F136" s="19" t="s">
        <v>46</v>
      </c>
      <c r="G136" s="16" t="s">
        <v>70</v>
      </c>
      <c r="H136" s="16" t="str">
        <f>_xlfn.XLOOKUP(G136,'1-Players'!$A$2:$A$27,'1-Players'!$D$2:$D$27,"")</f>
        <v>Louis Olinde</v>
      </c>
      <c r="I136" s="19" t="s">
        <v>108</v>
      </c>
      <c r="K136" s="16" t="str" cm="1">
        <f t="array" ref="K136">IFERROR(_xlfn.IFS(I136="Free Throw",1,I136="2-Point Shot",2,I136="Dunk",2,I136="3-Point Shot",3),"")</f>
        <v/>
      </c>
      <c r="L136" s="16" t="str" cm="1">
        <f t="array" ref="L136">IFERROR(_xlfn.IFS(J136="Made",1,J136="Missed",0),"")</f>
        <v/>
      </c>
      <c r="M136" s="16" t="str">
        <f t="shared" si="13"/>
        <v/>
      </c>
      <c r="R136" s="16" t="str">
        <f t="shared" si="14"/>
        <v/>
      </c>
      <c r="S136" s="16" t="str" cm="1">
        <f t="array" ref="S136">IFERROR(_xlfn.IFS(I136="Offensive Rebound",1),"")</f>
        <v/>
      </c>
      <c r="T136" s="16" t="str" cm="1">
        <f t="array" ref="T136">IFERROR(_xlfn.IFS(I136="Defensive Rebound",1),"")</f>
        <v/>
      </c>
      <c r="U136" s="16" t="str" cm="1">
        <f t="array" ref="U136">IFERROR(_xlfn.IFS(I136="Assist",1),"")</f>
        <v/>
      </c>
      <c r="V136" s="16" t="str" cm="1">
        <f t="array" ref="V136">IFERROR(_xlfn.IFS(I136="Turnover",1),"")</f>
        <v/>
      </c>
      <c r="W136" s="16" t="str" cm="1">
        <f t="array" ref="W136">IFERROR(_xlfn.IFS(I136="Steal",1),"")</f>
        <v/>
      </c>
      <c r="X136" s="16" t="str" cm="1">
        <f t="array" ref="X136">IFERROR(_xlfn.IFS(I136="Block",1),"")</f>
        <v/>
      </c>
      <c r="Y136" s="16" t="str" cm="1">
        <f t="array" ref="Y136">IFERROR(_xlfn.IFS(I136="Block Received",1),"")</f>
        <v/>
      </c>
      <c r="Z136" s="16" t="str" cm="1">
        <f t="array" ref="Z136">IFERROR(_xlfn.IFS(I136="Foul",1,I136="Foul Technical",1,I136="Offensive Foul",1),"")</f>
        <v/>
      </c>
      <c r="AA136" s="16" cm="1">
        <f t="array" ref="AA136">IFERROR(_xlfn.IFS(I136="Foul Received",1),"")</f>
        <v>1</v>
      </c>
      <c r="AB136" s="49" t="str" cm="1">
        <f t="array" ref="AB136">IFERROR(_xlfn.IFS(I136="Starting lineup",C136,I136="Substitution - In",C136),"")</f>
        <v/>
      </c>
      <c r="AC136" s="46" t="str" cm="1">
        <f t="array" ref="AC136">IFERROR(_xlfn.IFS(I136="Finishing lineup",C136,I136="Substitution - Out",C136),"")</f>
        <v/>
      </c>
      <c r="AD136" s="46" t="str" cm="1">
        <f t="array" ref="AD136">IF(AC136&lt;&gt;"",LOOKUP(2,1/((G$2:G135=G136)*(AB$2:AB135&lt;&gt;"")),AB$2:AB135)-AC136,"")</f>
        <v/>
      </c>
      <c r="AE136" s="50" t="str" cm="1">
        <f t="array" ref="AE136">IF(AC136&lt;&gt;"",LOOKUP(2,1/((G$2:G135=G136)*(AB$2:AB135&lt;&gt;"")),AB$2:AB135)-AC136,"")</f>
        <v/>
      </c>
    </row>
    <row r="137" spans="1:31" hidden="1" x14ac:dyDescent="0.35">
      <c r="A137" s="19">
        <v>1</v>
      </c>
      <c r="B137" s="19">
        <v>136</v>
      </c>
      <c r="C137" s="46">
        <v>1.5509259259259259E-3</v>
      </c>
      <c r="D137" s="16">
        <f t="shared" si="11"/>
        <v>2</v>
      </c>
      <c r="E137" s="16">
        <f t="shared" si="12"/>
        <v>14</v>
      </c>
      <c r="F137" s="19" t="s">
        <v>16</v>
      </c>
      <c r="G137" s="16" t="s">
        <v>45</v>
      </c>
      <c r="H137" s="16" t="str">
        <f>_xlfn.XLOOKUP(G137,'1-Players'!$A$2:$A$27,'1-Players'!$D$2:$D$27,"")</f>
        <v>Gyorgy Golomán</v>
      </c>
      <c r="I137" s="19" t="s">
        <v>110</v>
      </c>
      <c r="K137" s="16" t="str" cm="1">
        <f t="array" ref="K137">IFERROR(_xlfn.IFS(I137="Free Throw",1,I137="2-Point Shot",2,I137="Dunk",2,I137="3-Point Shot",3),"")</f>
        <v/>
      </c>
      <c r="L137" s="16" t="str" cm="1">
        <f t="array" ref="L137">IFERROR(_xlfn.IFS(J137="Made",1,J137="Missed",0),"")</f>
        <v/>
      </c>
      <c r="M137" s="16" t="str">
        <f t="shared" si="13"/>
        <v/>
      </c>
      <c r="R137" s="16" t="str">
        <f t="shared" si="14"/>
        <v/>
      </c>
      <c r="S137" s="16" t="str" cm="1">
        <f t="array" ref="S137">IFERROR(_xlfn.IFS(I137="Offensive Rebound",1),"")</f>
        <v/>
      </c>
      <c r="T137" s="16" t="str" cm="1">
        <f t="array" ref="T137">IFERROR(_xlfn.IFS(I137="Defensive Rebound",1),"")</f>
        <v/>
      </c>
      <c r="U137" s="16" t="str" cm="1">
        <f t="array" ref="U137">IFERROR(_xlfn.IFS(I137="Assist",1),"")</f>
        <v/>
      </c>
      <c r="V137" s="16" t="str" cm="1">
        <f t="array" ref="V137">IFERROR(_xlfn.IFS(I137="Turnover",1),"")</f>
        <v/>
      </c>
      <c r="W137" s="16" t="str" cm="1">
        <f t="array" ref="W137">IFERROR(_xlfn.IFS(I137="Steal",1),"")</f>
        <v/>
      </c>
      <c r="X137" s="16" t="str" cm="1">
        <f t="array" ref="X137">IFERROR(_xlfn.IFS(I137="Block",1),"")</f>
        <v/>
      </c>
      <c r="Y137" s="16" t="str" cm="1">
        <f t="array" ref="Y137">IFERROR(_xlfn.IFS(I137="Block Received",1),"")</f>
        <v/>
      </c>
      <c r="Z137" s="16" t="str" cm="1">
        <f t="array" ref="Z137">IFERROR(_xlfn.IFS(I137="Foul",1,I137="Foul Technical",1,I137="Offensive Foul",1),"")</f>
        <v/>
      </c>
      <c r="AA137" s="16" t="str" cm="1">
        <f t="array" ref="AA137">IFERROR(_xlfn.IFS(I137="Foul Received",1),"")</f>
        <v/>
      </c>
      <c r="AB137" s="49" t="str" cm="1">
        <f t="array" ref="AB137">IFERROR(_xlfn.IFS(I137="Starting lineup",C137,I137="Substitution - In",C137),"")</f>
        <v/>
      </c>
      <c r="AC137" s="46" cm="1">
        <f t="array" ref="AC137">IFERROR(_xlfn.IFS(I137="Finishing lineup",C137,I137="Substitution - Out",C137),"")</f>
        <v>1.5509259259259259E-3</v>
      </c>
      <c r="AD137" s="46" cm="1">
        <f t="array" ref="AD137">IF(AC137&lt;&gt;"",LOOKUP(2,1/((G$2:G136=G137)*(AB$2:AB136&lt;&gt;"")),AB$2:AB136)-AC137,"")</f>
        <v>3.1481481481481482E-3</v>
      </c>
      <c r="AE137" s="50" cm="1">
        <f t="array" ref="AE137">IF(AC137&lt;&gt;"",LOOKUP(2,1/((G$2:G136=G137)*(AB$2:AB136&lt;&gt;"")),AB$2:AB136)-AC137,"")</f>
        <v>3.1481481481481482E-3</v>
      </c>
    </row>
    <row r="138" spans="1:31" hidden="1" x14ac:dyDescent="0.35">
      <c r="A138" s="16">
        <v>1</v>
      </c>
      <c r="B138" s="19">
        <v>137</v>
      </c>
      <c r="C138" s="46">
        <v>1.5509259259259259E-3</v>
      </c>
      <c r="D138" s="16">
        <f t="shared" si="11"/>
        <v>2</v>
      </c>
      <c r="E138" s="16">
        <f t="shared" si="12"/>
        <v>14</v>
      </c>
      <c r="F138" s="19" t="s">
        <v>16</v>
      </c>
      <c r="G138" s="16" t="s">
        <v>43</v>
      </c>
      <c r="H138" s="16" t="str">
        <f>_xlfn.XLOOKUP(G138,'1-Players'!$A$2:$A$27,'1-Players'!$D$2:$D$27,"")</f>
        <v>Cameron Krutwig</v>
      </c>
      <c r="I138" s="19" t="s">
        <v>111</v>
      </c>
      <c r="K138" s="16" t="str" cm="1">
        <f t="array" ref="K138">IFERROR(_xlfn.IFS(I138="Free Throw",1,I138="2-Point Shot",2,I138="Dunk",2,I138="3-Point Shot",3),"")</f>
        <v/>
      </c>
      <c r="L138" s="16" t="str" cm="1">
        <f t="array" ref="L138">IFERROR(_xlfn.IFS(J138="Made",1,J138="Missed",0),"")</f>
        <v/>
      </c>
      <c r="M138" s="16" t="str">
        <f t="shared" si="13"/>
        <v/>
      </c>
      <c r="R138" s="16" t="str">
        <f t="shared" si="14"/>
        <v/>
      </c>
      <c r="S138" s="16" t="str" cm="1">
        <f t="array" ref="S138">IFERROR(_xlfn.IFS(I138="Offensive Rebound",1),"")</f>
        <v/>
      </c>
      <c r="T138" s="16" t="str" cm="1">
        <f t="array" ref="T138">IFERROR(_xlfn.IFS(I138="Defensive Rebound",1),"")</f>
        <v/>
      </c>
      <c r="U138" s="16" t="str" cm="1">
        <f t="array" ref="U138">IFERROR(_xlfn.IFS(I138="Assist",1),"")</f>
        <v/>
      </c>
      <c r="V138" s="16" t="str" cm="1">
        <f t="array" ref="V138">IFERROR(_xlfn.IFS(I138="Turnover",1),"")</f>
        <v/>
      </c>
      <c r="W138" s="16" t="str" cm="1">
        <f t="array" ref="W138">IFERROR(_xlfn.IFS(I138="Steal",1),"")</f>
        <v/>
      </c>
      <c r="X138" s="16" t="str" cm="1">
        <f t="array" ref="X138">IFERROR(_xlfn.IFS(I138="Block",1),"")</f>
        <v/>
      </c>
      <c r="Y138" s="16" t="str" cm="1">
        <f t="array" ref="Y138">IFERROR(_xlfn.IFS(I138="Block Received",1),"")</f>
        <v/>
      </c>
      <c r="Z138" s="16" t="str" cm="1">
        <f t="array" ref="Z138">IFERROR(_xlfn.IFS(I138="Foul",1,I138="Foul Technical",1,I138="Offensive Foul",1),"")</f>
        <v/>
      </c>
      <c r="AA138" s="16" t="str" cm="1">
        <f t="array" ref="AA138">IFERROR(_xlfn.IFS(I138="Foul Received",1),"")</f>
        <v/>
      </c>
      <c r="AB138" s="49" cm="1">
        <f t="array" ref="AB138">IFERROR(_xlfn.IFS(I138="Starting lineup",C138,I138="Substitution - In",C138),"")</f>
        <v>1.5509259259259259E-3</v>
      </c>
      <c r="AC138" s="46" t="str" cm="1">
        <f t="array" ref="AC138">IFERROR(_xlfn.IFS(I138="Finishing lineup",C138,I138="Substitution - Out",C138),"")</f>
        <v/>
      </c>
      <c r="AD138" s="46" t="str" cm="1">
        <f t="array" ref="AD138">IF(AC138&lt;&gt;"",LOOKUP(2,1/((G$2:G137=G138)*(AB$2:AB137&lt;&gt;"")),AB$2:AB137)-AC138,"")</f>
        <v/>
      </c>
      <c r="AE138" s="50" t="str" cm="1">
        <f t="array" ref="AE138">IF(AC138&lt;&gt;"",LOOKUP(2,1/((G$2:G137=G138)*(AB$2:AB137&lt;&gt;"")),AB$2:AB137)-AC138,"")</f>
        <v/>
      </c>
    </row>
    <row r="139" spans="1:31" hidden="1" x14ac:dyDescent="0.35">
      <c r="A139" s="16">
        <v>1</v>
      </c>
      <c r="B139" s="19">
        <v>138</v>
      </c>
      <c r="C139" s="46">
        <v>1.5509259259259259E-3</v>
      </c>
      <c r="D139" s="16">
        <f t="shared" si="11"/>
        <v>2</v>
      </c>
      <c r="E139" s="16">
        <f t="shared" si="12"/>
        <v>14</v>
      </c>
      <c r="F139" s="19" t="s">
        <v>46</v>
      </c>
      <c r="G139" s="16" t="s">
        <v>70</v>
      </c>
      <c r="H139" s="16" t="str">
        <f>_xlfn.XLOOKUP(G139,'1-Players'!$A$2:$A$27,'1-Players'!$D$2:$D$27,"")</f>
        <v>Louis Olinde</v>
      </c>
      <c r="I139" s="19" t="s">
        <v>85</v>
      </c>
      <c r="J139" s="19" t="s">
        <v>63</v>
      </c>
      <c r="K139" s="16" cm="1">
        <f t="array" ref="K139">IFERROR(_xlfn.IFS(I139="Free Throw",1,I139="2-Point Shot",2,I139="Dunk",2,I139="3-Point Shot",3),"")</f>
        <v>1</v>
      </c>
      <c r="L139" s="16" cm="1">
        <f t="array" ref="L139">IFERROR(_xlfn.IFS(J139="Made",1,J139="Missed",0),"")</f>
        <v>0</v>
      </c>
      <c r="M139" s="16">
        <f t="shared" si="13"/>
        <v>0</v>
      </c>
      <c r="R139" s="16" t="str">
        <f t="shared" si="14"/>
        <v/>
      </c>
      <c r="S139" s="16" t="str" cm="1">
        <f t="array" ref="S139">IFERROR(_xlfn.IFS(I139="Offensive Rebound",1),"")</f>
        <v/>
      </c>
      <c r="T139" s="16" t="str" cm="1">
        <f t="array" ref="T139">IFERROR(_xlfn.IFS(I139="Defensive Rebound",1),"")</f>
        <v/>
      </c>
      <c r="U139" s="16" t="str" cm="1">
        <f t="array" ref="U139">IFERROR(_xlfn.IFS(I139="Assist",1),"")</f>
        <v/>
      </c>
      <c r="V139" s="16" t="str" cm="1">
        <f t="array" ref="V139">IFERROR(_xlfn.IFS(I139="Turnover",1),"")</f>
        <v/>
      </c>
      <c r="W139" s="16" t="str" cm="1">
        <f t="array" ref="W139">IFERROR(_xlfn.IFS(I139="Steal",1),"")</f>
        <v/>
      </c>
      <c r="X139" s="16" t="str" cm="1">
        <f t="array" ref="X139">IFERROR(_xlfn.IFS(I139="Block",1),"")</f>
        <v/>
      </c>
      <c r="Y139" s="16" t="str" cm="1">
        <f t="array" ref="Y139">IFERROR(_xlfn.IFS(I139="Block Received",1),"")</f>
        <v/>
      </c>
      <c r="Z139" s="16" t="str" cm="1">
        <f t="array" ref="Z139">IFERROR(_xlfn.IFS(I139="Foul",1,I139="Foul Technical",1,I139="Offensive Foul",1),"")</f>
        <v/>
      </c>
      <c r="AA139" s="16" t="str" cm="1">
        <f t="array" ref="AA139">IFERROR(_xlfn.IFS(I139="Foul Received",1),"")</f>
        <v/>
      </c>
      <c r="AB139" s="49" t="str" cm="1">
        <f t="array" ref="AB139">IFERROR(_xlfn.IFS(I139="Starting lineup",C139,I139="Substitution - In",C139),"")</f>
        <v/>
      </c>
      <c r="AC139" s="46" t="str" cm="1">
        <f t="array" ref="AC139">IFERROR(_xlfn.IFS(I139="Finishing lineup",C139,I139="Substitution - Out",C139),"")</f>
        <v/>
      </c>
      <c r="AD139" s="46" t="str" cm="1">
        <f t="array" ref="AD139">IF(AC139&lt;&gt;"",LOOKUP(2,1/((G$2:G138=G139)*(AB$2:AB138&lt;&gt;"")),AB$2:AB138)-AC139,"")</f>
        <v/>
      </c>
      <c r="AE139" s="50" t="str" cm="1">
        <f t="array" ref="AE139">IF(AC139&lt;&gt;"",LOOKUP(2,1/((G$2:G138=G139)*(AB$2:AB138&lt;&gt;"")),AB$2:AB138)-AC139,"")</f>
        <v/>
      </c>
    </row>
    <row r="140" spans="1:31" hidden="1" x14ac:dyDescent="0.35">
      <c r="A140" s="19">
        <v>1</v>
      </c>
      <c r="B140" s="19">
        <v>139</v>
      </c>
      <c r="C140" s="46">
        <v>1.5509259259259259E-3</v>
      </c>
      <c r="D140" s="16">
        <f t="shared" si="11"/>
        <v>2</v>
      </c>
      <c r="E140" s="16">
        <f t="shared" si="12"/>
        <v>14</v>
      </c>
      <c r="F140" s="19" t="s">
        <v>46</v>
      </c>
      <c r="G140" s="16" t="s">
        <v>70</v>
      </c>
      <c r="H140" s="16" t="str">
        <f>_xlfn.XLOOKUP(G140,'1-Players'!$A$2:$A$27,'1-Players'!$D$2:$D$27,"")</f>
        <v>Louis Olinde</v>
      </c>
      <c r="I140" s="19" t="s">
        <v>85</v>
      </c>
      <c r="J140" s="16" t="s">
        <v>60</v>
      </c>
      <c r="K140" s="16" cm="1">
        <f t="array" ref="K140">IFERROR(_xlfn.IFS(I140="Free Throw",1,I140="2-Point Shot",2,I140="Dunk",2,I140="3-Point Shot",3),"")</f>
        <v>1</v>
      </c>
      <c r="L140" s="16" cm="1">
        <f t="array" ref="L140">IFERROR(_xlfn.IFS(J140="Made",1,J140="Missed",0),"")</f>
        <v>1</v>
      </c>
      <c r="M140" s="16">
        <f t="shared" si="13"/>
        <v>1</v>
      </c>
      <c r="R140" s="16" t="str">
        <f t="shared" si="14"/>
        <v>N</v>
      </c>
      <c r="S140" s="16" t="str" cm="1">
        <f t="array" ref="S140">IFERROR(_xlfn.IFS(I140="Offensive Rebound",1),"")</f>
        <v/>
      </c>
      <c r="T140" s="16" t="str" cm="1">
        <f t="array" ref="T140">IFERROR(_xlfn.IFS(I140="Defensive Rebound",1),"")</f>
        <v/>
      </c>
      <c r="U140" s="16" t="str" cm="1">
        <f t="array" ref="U140">IFERROR(_xlfn.IFS(I140="Assist",1),"")</f>
        <v/>
      </c>
      <c r="V140" s="16" t="str" cm="1">
        <f t="array" ref="V140">IFERROR(_xlfn.IFS(I140="Turnover",1),"")</f>
        <v/>
      </c>
      <c r="W140" s="16" t="str" cm="1">
        <f t="array" ref="W140">IFERROR(_xlfn.IFS(I140="Steal",1),"")</f>
        <v/>
      </c>
      <c r="X140" s="16" t="str" cm="1">
        <f t="array" ref="X140">IFERROR(_xlfn.IFS(I140="Block",1),"")</f>
        <v/>
      </c>
      <c r="Y140" s="16" t="str" cm="1">
        <f t="array" ref="Y140">IFERROR(_xlfn.IFS(I140="Block Received",1),"")</f>
        <v/>
      </c>
      <c r="Z140" s="16" t="str" cm="1">
        <f t="array" ref="Z140">IFERROR(_xlfn.IFS(I140="Foul",1,I140="Foul Technical",1,I140="Offensive Foul",1),"")</f>
        <v/>
      </c>
      <c r="AA140" s="16" t="str" cm="1">
        <f t="array" ref="AA140">IFERROR(_xlfn.IFS(I140="Foul Received",1),"")</f>
        <v/>
      </c>
      <c r="AB140" s="49" t="str" cm="1">
        <f t="array" ref="AB140">IFERROR(_xlfn.IFS(I140="Starting lineup",C140,I140="Substitution - In",C140),"")</f>
        <v/>
      </c>
      <c r="AC140" s="46" t="str" cm="1">
        <f t="array" ref="AC140">IFERROR(_xlfn.IFS(I140="Finishing lineup",C140,I140="Substitution - Out",C140),"")</f>
        <v/>
      </c>
      <c r="AD140" s="46" t="str" cm="1">
        <f t="array" ref="AD140">IF(AC140&lt;&gt;"",LOOKUP(2,1/((G$2:G139=G140)*(AB$2:AB139&lt;&gt;"")),AB$2:AB139)-AC140,"")</f>
        <v/>
      </c>
      <c r="AE140" s="50" t="str" cm="1">
        <f t="array" ref="AE140">IF(AC140&lt;&gt;"",LOOKUP(2,1/((G$2:G139=G140)*(AB$2:AB139&lt;&gt;"")),AB$2:AB139)-AC140,"")</f>
        <v/>
      </c>
    </row>
    <row r="141" spans="1:31" hidden="1" x14ac:dyDescent="0.35">
      <c r="A141" s="16">
        <v>1</v>
      </c>
      <c r="B141" s="19">
        <v>140</v>
      </c>
      <c r="C141" s="46">
        <v>1.5509259259259259E-3</v>
      </c>
      <c r="D141" s="16">
        <f t="shared" si="11"/>
        <v>2</v>
      </c>
      <c r="E141" s="16">
        <f t="shared" si="12"/>
        <v>14</v>
      </c>
      <c r="F141" s="19" t="s">
        <v>46</v>
      </c>
      <c r="G141" s="16" t="s">
        <v>70</v>
      </c>
      <c r="H141" s="16" t="str">
        <f>_xlfn.XLOOKUP(G141,'1-Players'!$A$2:$A$27,'1-Players'!$D$2:$D$27,"")</f>
        <v>Louis Olinde</v>
      </c>
      <c r="I141" s="19" t="s">
        <v>110</v>
      </c>
      <c r="K141" s="16" t="str" cm="1">
        <f t="array" ref="K141">IFERROR(_xlfn.IFS(I141="Free Throw",1,I141="2-Point Shot",2,I141="Dunk",2,I141="3-Point Shot",3),"")</f>
        <v/>
      </c>
      <c r="L141" s="16" t="str" cm="1">
        <f t="array" ref="L141">IFERROR(_xlfn.IFS(J141="Made",1,J141="Missed",0),"")</f>
        <v/>
      </c>
      <c r="M141" s="16" t="str">
        <f t="shared" si="13"/>
        <v/>
      </c>
      <c r="R141" s="16" t="str">
        <f t="shared" si="14"/>
        <v/>
      </c>
      <c r="S141" s="16" t="str" cm="1">
        <f t="array" ref="S141">IFERROR(_xlfn.IFS(I141="Offensive Rebound",1),"")</f>
        <v/>
      </c>
      <c r="T141" s="16" t="str" cm="1">
        <f t="array" ref="T141">IFERROR(_xlfn.IFS(I141="Defensive Rebound",1),"")</f>
        <v/>
      </c>
      <c r="U141" s="16" t="str" cm="1">
        <f t="array" ref="U141">IFERROR(_xlfn.IFS(I141="Assist",1),"")</f>
        <v/>
      </c>
      <c r="V141" s="16" t="str" cm="1">
        <f t="array" ref="V141">IFERROR(_xlfn.IFS(I141="Turnover",1),"")</f>
        <v/>
      </c>
      <c r="W141" s="16" t="str" cm="1">
        <f t="array" ref="W141">IFERROR(_xlfn.IFS(I141="Steal",1),"")</f>
        <v/>
      </c>
      <c r="X141" s="16" t="str" cm="1">
        <f t="array" ref="X141">IFERROR(_xlfn.IFS(I141="Block",1),"")</f>
        <v/>
      </c>
      <c r="Y141" s="16" t="str" cm="1">
        <f t="array" ref="Y141">IFERROR(_xlfn.IFS(I141="Block Received",1),"")</f>
        <v/>
      </c>
      <c r="Z141" s="16" t="str" cm="1">
        <f t="array" ref="Z141">IFERROR(_xlfn.IFS(I141="Foul",1,I141="Foul Technical",1,I141="Offensive Foul",1),"")</f>
        <v/>
      </c>
      <c r="AA141" s="16" t="str" cm="1">
        <f t="array" ref="AA141">IFERROR(_xlfn.IFS(I141="Foul Received",1),"")</f>
        <v/>
      </c>
      <c r="AB141" s="49" t="str" cm="1">
        <f t="array" ref="AB141">IFERROR(_xlfn.IFS(I141="Starting lineup",C141,I141="Substitution - In",C141),"")</f>
        <v/>
      </c>
      <c r="AC141" s="46" cm="1">
        <f t="array" ref="AC141">IFERROR(_xlfn.IFS(I141="Finishing lineup",C141,I141="Substitution - Out",C141),"")</f>
        <v>1.5509259259259259E-3</v>
      </c>
      <c r="AD141" s="46" cm="1">
        <f t="array" ref="AD141">IF(AC141&lt;&gt;"",LOOKUP(2,1/((G$2:G140=G141)*(AB$2:AB140&lt;&gt;"")),AB$2:AB140)-AC141,"")</f>
        <v>3.1481481481481482E-3</v>
      </c>
      <c r="AE141" s="50" cm="1">
        <f t="array" ref="AE141">IF(AC141&lt;&gt;"",LOOKUP(2,1/((G$2:G140=G141)*(AB$2:AB140&lt;&gt;"")),AB$2:AB140)-AC141,"")</f>
        <v>3.1481481481481482E-3</v>
      </c>
    </row>
    <row r="142" spans="1:31" hidden="1" x14ac:dyDescent="0.35">
      <c r="A142" s="16">
        <v>1</v>
      </c>
      <c r="B142" s="19">
        <v>141</v>
      </c>
      <c r="C142" s="46">
        <v>1.5509259259259259E-3</v>
      </c>
      <c r="D142" s="16">
        <f t="shared" si="11"/>
        <v>2</v>
      </c>
      <c r="E142" s="16">
        <f t="shared" si="12"/>
        <v>14</v>
      </c>
      <c r="F142" s="19" t="s">
        <v>46</v>
      </c>
      <c r="G142" s="16" t="s">
        <v>35</v>
      </c>
      <c r="H142" s="16" t="str">
        <f>_xlfn.XLOOKUP(G142,'1-Players'!$A$2:$A$27,'1-Players'!$D$2:$D$27,"")</f>
        <v>Grant Golden</v>
      </c>
      <c r="I142" s="19" t="s">
        <v>111</v>
      </c>
      <c r="K142" s="16" t="str" cm="1">
        <f t="array" ref="K142">IFERROR(_xlfn.IFS(I142="Free Throw",1,I142="2-Point Shot",2,I142="Dunk",2,I142="3-Point Shot",3),"")</f>
        <v/>
      </c>
      <c r="L142" s="16" t="str" cm="1">
        <f t="array" ref="L142">IFERROR(_xlfn.IFS(J142="Made",1,J142="Missed",0),"")</f>
        <v/>
      </c>
      <c r="M142" s="16" t="str">
        <f t="shared" si="13"/>
        <v/>
      </c>
      <c r="R142" s="16" t="str">
        <f t="shared" si="14"/>
        <v/>
      </c>
      <c r="S142" s="16" t="str" cm="1">
        <f t="array" ref="S142">IFERROR(_xlfn.IFS(I142="Offensive Rebound",1),"")</f>
        <v/>
      </c>
      <c r="T142" s="16" t="str" cm="1">
        <f t="array" ref="T142">IFERROR(_xlfn.IFS(I142="Defensive Rebound",1),"")</f>
        <v/>
      </c>
      <c r="U142" s="16" t="str" cm="1">
        <f t="array" ref="U142">IFERROR(_xlfn.IFS(I142="Assist",1),"")</f>
        <v/>
      </c>
      <c r="V142" s="16" t="str" cm="1">
        <f t="array" ref="V142">IFERROR(_xlfn.IFS(I142="Turnover",1),"")</f>
        <v/>
      </c>
      <c r="W142" s="16" t="str" cm="1">
        <f t="array" ref="W142">IFERROR(_xlfn.IFS(I142="Steal",1),"")</f>
        <v/>
      </c>
      <c r="X142" s="16" t="str" cm="1">
        <f t="array" ref="X142">IFERROR(_xlfn.IFS(I142="Block",1),"")</f>
        <v/>
      </c>
      <c r="Y142" s="16" t="str" cm="1">
        <f t="array" ref="Y142">IFERROR(_xlfn.IFS(I142="Block Received",1),"")</f>
        <v/>
      </c>
      <c r="Z142" s="16" t="str" cm="1">
        <f t="array" ref="Z142">IFERROR(_xlfn.IFS(I142="Foul",1,I142="Foul Technical",1,I142="Offensive Foul",1),"")</f>
        <v/>
      </c>
      <c r="AA142" s="16" t="str" cm="1">
        <f t="array" ref="AA142">IFERROR(_xlfn.IFS(I142="Foul Received",1),"")</f>
        <v/>
      </c>
      <c r="AB142" s="49" cm="1">
        <f t="array" ref="AB142">IFERROR(_xlfn.IFS(I142="Starting lineup",C142,I142="Substitution - In",C142),"")</f>
        <v>1.5509259259259259E-3</v>
      </c>
      <c r="AC142" s="46" t="str" cm="1">
        <f t="array" ref="AC142">IFERROR(_xlfn.IFS(I142="Finishing lineup",C142,I142="Substitution - Out",C142),"")</f>
        <v/>
      </c>
      <c r="AD142" s="46" t="str" cm="1">
        <f t="array" ref="AD142">IF(AC142&lt;&gt;"",LOOKUP(2,1/((G$2:G141=G142)*(AB$2:AB141&lt;&gt;"")),AB$2:AB141)-AC142,"")</f>
        <v/>
      </c>
      <c r="AE142" s="50" t="str" cm="1">
        <f t="array" ref="AE142">IF(AC142&lt;&gt;"",LOOKUP(2,1/((G$2:G141=G142)*(AB$2:AB141&lt;&gt;"")),AB$2:AB141)-AC142,"")</f>
        <v/>
      </c>
    </row>
    <row r="143" spans="1:31" hidden="1" x14ac:dyDescent="0.35">
      <c r="A143" s="19">
        <v>1</v>
      </c>
      <c r="B143" s="19">
        <v>142</v>
      </c>
      <c r="C143" s="46">
        <v>1.4004629629629629E-3</v>
      </c>
      <c r="D143" s="16">
        <f t="shared" si="11"/>
        <v>2</v>
      </c>
      <c r="E143" s="16">
        <f t="shared" si="12"/>
        <v>1</v>
      </c>
      <c r="F143" s="19" t="s">
        <v>16</v>
      </c>
      <c r="G143" s="16" t="s">
        <v>18</v>
      </c>
      <c r="H143" s="16" t="str">
        <f>_xlfn.XLOOKUP(G143,'1-Players'!$A$2:$A$27,'1-Players'!$D$2:$D$27,"")</f>
        <v>Corey Walden</v>
      </c>
      <c r="I143" s="19" t="s">
        <v>82</v>
      </c>
      <c r="J143" s="19" t="s">
        <v>60</v>
      </c>
      <c r="K143" s="16" cm="1">
        <f t="array" ref="K143">IFERROR(_xlfn.IFS(I143="Free Throw",1,I143="2-Point Shot",2,I143="Dunk",2,I143="3-Point Shot",3),"")</f>
        <v>2</v>
      </c>
      <c r="L143" s="16" cm="1">
        <f t="array" ref="L143">IFERROR(_xlfn.IFS(J143="Made",1,J143="Missed",0),"")</f>
        <v>1</v>
      </c>
      <c r="M143" s="16">
        <f t="shared" si="13"/>
        <v>2</v>
      </c>
      <c r="N143" s="16" t="s">
        <v>177</v>
      </c>
      <c r="O143" s="16" t="s">
        <v>179</v>
      </c>
      <c r="P143" s="16">
        <v>11</v>
      </c>
      <c r="Q143" s="16" t="s">
        <v>102</v>
      </c>
      <c r="R143" s="16" t="str">
        <f t="shared" si="14"/>
        <v>N</v>
      </c>
      <c r="S143" s="16" t="str" cm="1">
        <f t="array" ref="S143">IFERROR(_xlfn.IFS(I143="Offensive Rebound",1),"")</f>
        <v/>
      </c>
      <c r="T143" s="16" t="str" cm="1">
        <f t="array" ref="T143">IFERROR(_xlfn.IFS(I143="Defensive Rebound",1),"")</f>
        <v/>
      </c>
      <c r="U143" s="16" t="str" cm="1">
        <f t="array" ref="U143">IFERROR(_xlfn.IFS(I143="Assist",1),"")</f>
        <v/>
      </c>
      <c r="V143" s="16" t="str" cm="1">
        <f t="array" ref="V143">IFERROR(_xlfn.IFS(I143="Turnover",1),"")</f>
        <v/>
      </c>
      <c r="W143" s="16" t="str" cm="1">
        <f t="array" ref="W143">IFERROR(_xlfn.IFS(I143="Steal",1),"")</f>
        <v/>
      </c>
      <c r="X143" s="16" t="str" cm="1">
        <f t="array" ref="X143">IFERROR(_xlfn.IFS(I143="Block",1),"")</f>
        <v/>
      </c>
      <c r="Y143" s="16" t="str" cm="1">
        <f t="array" ref="Y143">IFERROR(_xlfn.IFS(I143="Block Received",1),"")</f>
        <v/>
      </c>
      <c r="Z143" s="16" t="str" cm="1">
        <f t="array" ref="Z143">IFERROR(_xlfn.IFS(I143="Foul",1,I143="Foul Technical",1,I143="Offensive Foul",1),"")</f>
        <v/>
      </c>
      <c r="AA143" s="16" t="str" cm="1">
        <f t="array" ref="AA143">IFERROR(_xlfn.IFS(I143="Foul Received",1),"")</f>
        <v/>
      </c>
      <c r="AB143" s="49" t="str" cm="1">
        <f t="array" ref="AB143">IFERROR(_xlfn.IFS(I143="Starting lineup",C143,I143="Substitution - In",C143),"")</f>
        <v/>
      </c>
      <c r="AC143" s="46" t="str" cm="1">
        <f t="array" ref="AC143">IFERROR(_xlfn.IFS(I143="Finishing lineup",C143,I143="Substitution - Out",C143),"")</f>
        <v/>
      </c>
      <c r="AD143" s="46" t="str" cm="1">
        <f t="array" ref="AD143">IF(AC143&lt;&gt;"",LOOKUP(2,1/((G$2:G142=G143)*(AB$2:AB142&lt;&gt;"")),AB$2:AB142)-AC143,"")</f>
        <v/>
      </c>
      <c r="AE143" s="50" t="str" cm="1">
        <f t="array" ref="AE143">IF(AC143&lt;&gt;"",LOOKUP(2,1/((G$2:G142=G143)*(AB$2:AB142&lt;&gt;"")),AB$2:AB142)-AC143,"")</f>
        <v/>
      </c>
    </row>
    <row r="144" spans="1:31" hidden="1" x14ac:dyDescent="0.35">
      <c r="A144" s="16">
        <v>1</v>
      </c>
      <c r="B144" s="19">
        <v>143</v>
      </c>
      <c r="C144" s="46">
        <v>1.4004629629629629E-3</v>
      </c>
      <c r="D144" s="16">
        <f t="shared" si="11"/>
        <v>2</v>
      </c>
      <c r="E144" s="16">
        <f t="shared" si="12"/>
        <v>1</v>
      </c>
      <c r="F144" s="19" t="s">
        <v>46</v>
      </c>
      <c r="G144" s="16" t="s">
        <v>11</v>
      </c>
      <c r="H144" s="16" t="str">
        <f>_xlfn.XLOOKUP(G144,'1-Players'!$A$2:$A$27,'1-Players'!$D$2:$D$27,"")</f>
        <v>Marcis Steinbergs</v>
      </c>
      <c r="I144" s="19" t="s">
        <v>106</v>
      </c>
      <c r="J144" s="19" t="s">
        <v>118</v>
      </c>
      <c r="K144" s="16" t="str" cm="1">
        <f t="array" ref="K144">IFERROR(_xlfn.IFS(I144="Free Throw",1,I144="2-Point Shot",2,I144="Dunk",2,I144="3-Point Shot",3),"")</f>
        <v/>
      </c>
      <c r="L144" s="16" t="str" cm="1">
        <f t="array" ref="L144">IFERROR(_xlfn.IFS(J144="Made",1,J144="Missed",0),"")</f>
        <v/>
      </c>
      <c r="M144" s="16" t="str">
        <f t="shared" si="13"/>
        <v/>
      </c>
      <c r="R144" s="16" t="str">
        <f t="shared" si="14"/>
        <v/>
      </c>
      <c r="S144" s="16" t="str" cm="1">
        <f t="array" ref="S144">IFERROR(_xlfn.IFS(I144="Offensive Rebound",1),"")</f>
        <v/>
      </c>
      <c r="T144" s="16" t="str" cm="1">
        <f t="array" ref="T144">IFERROR(_xlfn.IFS(I144="Defensive Rebound",1),"")</f>
        <v/>
      </c>
      <c r="U144" s="16" t="str" cm="1">
        <f t="array" ref="U144">IFERROR(_xlfn.IFS(I144="Assist",1),"")</f>
        <v/>
      </c>
      <c r="V144" s="16" t="str" cm="1">
        <f t="array" ref="V144">IFERROR(_xlfn.IFS(I144="Turnover",1),"")</f>
        <v/>
      </c>
      <c r="W144" s="16" t="str" cm="1">
        <f t="array" ref="W144">IFERROR(_xlfn.IFS(I144="Steal",1),"")</f>
        <v/>
      </c>
      <c r="X144" s="16" t="str" cm="1">
        <f t="array" ref="X144">IFERROR(_xlfn.IFS(I144="Block",1),"")</f>
        <v/>
      </c>
      <c r="Y144" s="16" t="str" cm="1">
        <f t="array" ref="Y144">IFERROR(_xlfn.IFS(I144="Block Received",1),"")</f>
        <v/>
      </c>
      <c r="Z144" s="16" cm="1">
        <f t="array" ref="Z144">IFERROR(_xlfn.IFS(I144="Foul",1,I144="Foul Technical",1,I144="Offensive Foul",1),"")</f>
        <v>1</v>
      </c>
      <c r="AA144" s="16" t="str" cm="1">
        <f t="array" ref="AA144">IFERROR(_xlfn.IFS(I144="Foul Received",1),"")</f>
        <v/>
      </c>
      <c r="AB144" s="49" t="str" cm="1">
        <f t="array" ref="AB144">IFERROR(_xlfn.IFS(I144="Starting lineup",C144,I144="Substitution - In",C144),"")</f>
        <v/>
      </c>
      <c r="AC144" s="46" t="str" cm="1">
        <f t="array" ref="AC144">IFERROR(_xlfn.IFS(I144="Finishing lineup",C144,I144="Substitution - Out",C144),"")</f>
        <v/>
      </c>
      <c r="AD144" s="46" t="str" cm="1">
        <f t="array" ref="AD144">IF(AC144&lt;&gt;"",LOOKUP(2,1/((G$2:G143=G144)*(AB$2:AB143&lt;&gt;"")),AB$2:AB143)-AC144,"")</f>
        <v/>
      </c>
      <c r="AE144" s="50" t="str" cm="1">
        <f t="array" ref="AE144">IF(AC144&lt;&gt;"",LOOKUP(2,1/((G$2:G143=G144)*(AB$2:AB143&lt;&gt;"")),AB$2:AB143)-AC144,"")</f>
        <v/>
      </c>
    </row>
    <row r="145" spans="1:31" hidden="1" x14ac:dyDescent="0.35">
      <c r="A145" s="16">
        <v>1</v>
      </c>
      <c r="B145" s="19">
        <v>144</v>
      </c>
      <c r="C145" s="46">
        <v>1.4004629629629629E-3</v>
      </c>
      <c r="D145" s="16">
        <f t="shared" si="11"/>
        <v>2</v>
      </c>
      <c r="E145" s="16">
        <f t="shared" si="12"/>
        <v>1</v>
      </c>
      <c r="F145" s="19" t="s">
        <v>16</v>
      </c>
      <c r="G145" s="16" t="s">
        <v>18</v>
      </c>
      <c r="H145" s="16" t="str">
        <f>_xlfn.XLOOKUP(G145,'1-Players'!$A$2:$A$27,'1-Players'!$D$2:$D$27,"")</f>
        <v>Corey Walden</v>
      </c>
      <c r="I145" s="19" t="s">
        <v>108</v>
      </c>
      <c r="K145" s="16" t="str" cm="1">
        <f t="array" ref="K145">IFERROR(_xlfn.IFS(I145="Free Throw",1,I145="2-Point Shot",2,I145="Dunk",2,I145="3-Point Shot",3),"")</f>
        <v/>
      </c>
      <c r="L145" s="16" t="str" cm="1">
        <f t="array" ref="L145">IFERROR(_xlfn.IFS(J145="Made",1,J145="Missed",0),"")</f>
        <v/>
      </c>
      <c r="M145" s="16" t="str">
        <f t="shared" si="13"/>
        <v/>
      </c>
      <c r="R145" s="16" t="str">
        <f t="shared" si="14"/>
        <v/>
      </c>
      <c r="S145" s="16" t="str" cm="1">
        <f t="array" ref="S145">IFERROR(_xlfn.IFS(I145="Offensive Rebound",1),"")</f>
        <v/>
      </c>
      <c r="T145" s="16" t="str" cm="1">
        <f t="array" ref="T145">IFERROR(_xlfn.IFS(I145="Defensive Rebound",1),"")</f>
        <v/>
      </c>
      <c r="U145" s="16" t="str" cm="1">
        <f t="array" ref="U145">IFERROR(_xlfn.IFS(I145="Assist",1),"")</f>
        <v/>
      </c>
      <c r="V145" s="16" t="str" cm="1">
        <f t="array" ref="V145">IFERROR(_xlfn.IFS(I145="Turnover",1),"")</f>
        <v/>
      </c>
      <c r="W145" s="16" t="str" cm="1">
        <f t="array" ref="W145">IFERROR(_xlfn.IFS(I145="Steal",1),"")</f>
        <v/>
      </c>
      <c r="X145" s="16" t="str" cm="1">
        <f t="array" ref="X145">IFERROR(_xlfn.IFS(I145="Block",1),"")</f>
        <v/>
      </c>
      <c r="Y145" s="16" t="str" cm="1">
        <f t="array" ref="Y145">IFERROR(_xlfn.IFS(I145="Block Received",1),"")</f>
        <v/>
      </c>
      <c r="Z145" s="16" t="str" cm="1">
        <f t="array" ref="Z145">IFERROR(_xlfn.IFS(I145="Foul",1,I145="Foul Technical",1,I145="Offensive Foul",1),"")</f>
        <v/>
      </c>
      <c r="AA145" s="16" cm="1">
        <f t="array" ref="AA145">IFERROR(_xlfn.IFS(I145="Foul Received",1),"")</f>
        <v>1</v>
      </c>
      <c r="AB145" s="49" t="str" cm="1">
        <f t="array" ref="AB145">IFERROR(_xlfn.IFS(I145="Starting lineup",C145,I145="Substitution - In",C145),"")</f>
        <v/>
      </c>
      <c r="AC145" s="46" t="str" cm="1">
        <f t="array" ref="AC145">IFERROR(_xlfn.IFS(I145="Finishing lineup",C145,I145="Substitution - Out",C145),"")</f>
        <v/>
      </c>
      <c r="AD145" s="46" t="str" cm="1">
        <f t="array" ref="AD145">IF(AC145&lt;&gt;"",LOOKUP(2,1/((G$2:G144=G145)*(AB$2:AB144&lt;&gt;"")),AB$2:AB144)-AC145,"")</f>
        <v/>
      </c>
      <c r="AE145" s="50" t="str" cm="1">
        <f t="array" ref="AE145">IF(AC145&lt;&gt;"",LOOKUP(2,1/((G$2:G144=G145)*(AB$2:AB144&lt;&gt;"")),AB$2:AB144)-AC145,"")</f>
        <v/>
      </c>
    </row>
    <row r="146" spans="1:31" hidden="1" x14ac:dyDescent="0.35">
      <c r="A146" s="19">
        <v>1</v>
      </c>
      <c r="B146" s="19">
        <v>145</v>
      </c>
      <c r="C146" s="46">
        <v>1.4004629629629629E-3</v>
      </c>
      <c r="D146" s="16">
        <f t="shared" si="11"/>
        <v>2</v>
      </c>
      <c r="E146" s="16">
        <f t="shared" si="12"/>
        <v>1</v>
      </c>
      <c r="F146" s="19" t="s">
        <v>16</v>
      </c>
      <c r="G146" s="16" t="s">
        <v>18</v>
      </c>
      <c r="H146" s="16" t="str">
        <f>_xlfn.XLOOKUP(G146,'1-Players'!$A$2:$A$27,'1-Players'!$D$2:$D$27,"")</f>
        <v>Corey Walden</v>
      </c>
      <c r="I146" s="19" t="s">
        <v>85</v>
      </c>
      <c r="J146" s="16" t="s">
        <v>60</v>
      </c>
      <c r="K146" s="16" cm="1">
        <f t="array" ref="K146">IFERROR(_xlfn.IFS(I146="Free Throw",1,I146="2-Point Shot",2,I146="Dunk",2,I146="3-Point Shot",3),"")</f>
        <v>1</v>
      </c>
      <c r="L146" s="16" cm="1">
        <f t="array" ref="L146">IFERROR(_xlfn.IFS(J146="Made",1,J146="Missed",0),"")</f>
        <v>1</v>
      </c>
      <c r="M146" s="16">
        <f t="shared" si="13"/>
        <v>1</v>
      </c>
      <c r="R146" s="16" t="str">
        <f t="shared" si="14"/>
        <v>N</v>
      </c>
      <c r="S146" s="16" t="str" cm="1">
        <f t="array" ref="S146">IFERROR(_xlfn.IFS(I146="Offensive Rebound",1),"")</f>
        <v/>
      </c>
      <c r="T146" s="16" t="str" cm="1">
        <f t="array" ref="T146">IFERROR(_xlfn.IFS(I146="Defensive Rebound",1),"")</f>
        <v/>
      </c>
      <c r="U146" s="16" t="str" cm="1">
        <f t="array" ref="U146">IFERROR(_xlfn.IFS(I146="Assist",1),"")</f>
        <v/>
      </c>
      <c r="V146" s="16" t="str" cm="1">
        <f t="array" ref="V146">IFERROR(_xlfn.IFS(I146="Turnover",1),"")</f>
        <v/>
      </c>
      <c r="W146" s="16" t="str" cm="1">
        <f t="array" ref="W146">IFERROR(_xlfn.IFS(I146="Steal",1),"")</f>
        <v/>
      </c>
      <c r="X146" s="16" t="str" cm="1">
        <f t="array" ref="X146">IFERROR(_xlfn.IFS(I146="Block",1),"")</f>
        <v/>
      </c>
      <c r="Y146" s="16" t="str" cm="1">
        <f t="array" ref="Y146">IFERROR(_xlfn.IFS(I146="Block Received",1),"")</f>
        <v/>
      </c>
      <c r="Z146" s="16" t="str" cm="1">
        <f t="array" ref="Z146">IFERROR(_xlfn.IFS(I146="Foul",1,I146="Foul Technical",1,I146="Offensive Foul",1),"")</f>
        <v/>
      </c>
      <c r="AA146" s="16" t="str" cm="1">
        <f t="array" ref="AA146">IFERROR(_xlfn.IFS(I146="Foul Received",1),"")</f>
        <v/>
      </c>
      <c r="AB146" s="49" t="str" cm="1">
        <f t="array" ref="AB146">IFERROR(_xlfn.IFS(I146="Starting lineup",C146,I146="Substitution - In",C146),"")</f>
        <v/>
      </c>
      <c r="AC146" s="46" t="str" cm="1">
        <f t="array" ref="AC146">IFERROR(_xlfn.IFS(I146="Finishing lineup",C146,I146="Substitution - Out",C146),"")</f>
        <v/>
      </c>
      <c r="AD146" s="46" t="str" cm="1">
        <f t="array" ref="AD146">IF(AC146&lt;&gt;"",LOOKUP(2,1/((G$2:G145=G146)*(AB$2:AB145&lt;&gt;"")),AB$2:AB145)-AC146,"")</f>
        <v/>
      </c>
      <c r="AE146" s="50" t="str" cm="1">
        <f t="array" ref="AE146">IF(AC146&lt;&gt;"",LOOKUP(2,1/((G$2:G145=G146)*(AB$2:AB145&lt;&gt;"")),AB$2:AB145)-AC146,"")</f>
        <v/>
      </c>
    </row>
    <row r="147" spans="1:31" hidden="1" x14ac:dyDescent="0.35">
      <c r="A147" s="16">
        <v>1</v>
      </c>
      <c r="B147" s="19">
        <v>146</v>
      </c>
      <c r="C147" s="46">
        <v>1.1921296296296296E-3</v>
      </c>
      <c r="D147" s="16">
        <f t="shared" si="11"/>
        <v>1</v>
      </c>
      <c r="E147" s="16">
        <f t="shared" si="12"/>
        <v>43</v>
      </c>
      <c r="F147" s="19" t="s">
        <v>46</v>
      </c>
      <c r="G147" s="16" t="s">
        <v>9</v>
      </c>
      <c r="H147" s="16" t="str">
        <f>_xlfn.XLOOKUP(G147,'1-Players'!$A$2:$A$27,'1-Players'!$D$2:$D$27,"")</f>
        <v>Agustín Ubal</v>
      </c>
      <c r="I147" s="19" t="s">
        <v>82</v>
      </c>
      <c r="J147" s="19" t="s">
        <v>63</v>
      </c>
      <c r="K147" s="16" cm="1">
        <f t="array" ref="K147">IFERROR(_xlfn.IFS(I147="Free Throw",1,I147="2-Point Shot",2,I147="Dunk",2,I147="3-Point Shot",3),"")</f>
        <v>2</v>
      </c>
      <c r="L147" s="16" cm="1">
        <f t="array" ref="L147">IFERROR(_xlfn.IFS(J147="Made",1,J147="Missed",0),"")</f>
        <v>0</v>
      </c>
      <c r="M147" s="16">
        <f t="shared" si="13"/>
        <v>0</v>
      </c>
      <c r="N147" s="16" t="s">
        <v>177</v>
      </c>
      <c r="O147" s="16" t="s">
        <v>179</v>
      </c>
      <c r="P147" s="16">
        <v>7</v>
      </c>
      <c r="Q147" s="16" t="s">
        <v>102</v>
      </c>
      <c r="R147" s="16" t="s">
        <v>191</v>
      </c>
      <c r="S147" s="16" t="str" cm="1">
        <f t="array" ref="S147">IFERROR(_xlfn.IFS(I147="Offensive Rebound",1),"")</f>
        <v/>
      </c>
      <c r="T147" s="16" t="str" cm="1">
        <f t="array" ref="T147">IFERROR(_xlfn.IFS(I147="Defensive Rebound",1),"")</f>
        <v/>
      </c>
      <c r="U147" s="16" t="str" cm="1">
        <f t="array" ref="U147">IFERROR(_xlfn.IFS(I147="Assist",1),"")</f>
        <v/>
      </c>
      <c r="V147" s="16" t="str" cm="1">
        <f t="array" ref="V147">IFERROR(_xlfn.IFS(I147="Turnover",1),"")</f>
        <v/>
      </c>
      <c r="W147" s="16" t="str" cm="1">
        <f t="array" ref="W147">IFERROR(_xlfn.IFS(I147="Steal",1),"")</f>
        <v/>
      </c>
      <c r="X147" s="16" t="str" cm="1">
        <f t="array" ref="X147">IFERROR(_xlfn.IFS(I147="Block",1),"")</f>
        <v/>
      </c>
      <c r="Y147" s="16" t="str" cm="1">
        <f t="array" ref="Y147">IFERROR(_xlfn.IFS(I147="Block Received",1),"")</f>
        <v/>
      </c>
      <c r="Z147" s="16" t="str" cm="1">
        <f t="array" ref="Z147">IFERROR(_xlfn.IFS(I147="Foul",1,I147="Foul Technical",1,I147="Offensive Foul",1),"")</f>
        <v/>
      </c>
      <c r="AA147" s="16" t="str" cm="1">
        <f t="array" ref="AA147">IFERROR(_xlfn.IFS(I147="Foul Received",1),"")</f>
        <v/>
      </c>
      <c r="AB147" s="49" t="str" cm="1">
        <f t="array" ref="AB147">IFERROR(_xlfn.IFS(I147="Starting lineup",C147,I147="Substitution - In",C147),"")</f>
        <v/>
      </c>
      <c r="AC147" s="46" t="str" cm="1">
        <f t="array" ref="AC147">IFERROR(_xlfn.IFS(I147="Finishing lineup",C147,I147="Substitution - Out",C147),"")</f>
        <v/>
      </c>
      <c r="AD147" s="46" t="str" cm="1">
        <f t="array" ref="AD147">IF(AC147&lt;&gt;"",LOOKUP(2,1/((G$2:G146=G147)*(AB$2:AB146&lt;&gt;"")),AB$2:AB146)-AC147,"")</f>
        <v/>
      </c>
      <c r="AE147" s="50" t="str" cm="1">
        <f t="array" ref="AE147">IF(AC147&lt;&gt;"",LOOKUP(2,1/((G$2:G146=G147)*(AB$2:AB146&lt;&gt;"")),AB$2:AB146)-AC147,"")</f>
        <v/>
      </c>
    </row>
    <row r="148" spans="1:31" hidden="1" x14ac:dyDescent="0.35">
      <c r="A148" s="16">
        <v>1</v>
      </c>
      <c r="B148" s="19">
        <v>147</v>
      </c>
      <c r="C148" s="46">
        <v>1.1921296296296296E-3</v>
      </c>
      <c r="D148" s="16">
        <f t="shared" si="11"/>
        <v>1</v>
      </c>
      <c r="E148" s="16">
        <f t="shared" si="12"/>
        <v>43</v>
      </c>
      <c r="F148" s="19" t="s">
        <v>46</v>
      </c>
      <c r="G148" s="16" t="s">
        <v>9</v>
      </c>
      <c r="H148" s="16" t="str">
        <f>_xlfn.XLOOKUP(G148,'1-Players'!$A$2:$A$27,'1-Players'!$D$2:$D$27,"")</f>
        <v>Agustín Ubal</v>
      </c>
      <c r="I148" s="19" t="s">
        <v>86</v>
      </c>
      <c r="K148" s="16" t="str" cm="1">
        <f t="array" ref="K148">IFERROR(_xlfn.IFS(I148="Free Throw",1,I148="2-Point Shot",2,I148="Dunk",2,I148="3-Point Shot",3),"")</f>
        <v/>
      </c>
      <c r="L148" s="16" t="str" cm="1">
        <f t="array" ref="L148">IFERROR(_xlfn.IFS(J148="Made",1,J148="Missed",0),"")</f>
        <v/>
      </c>
      <c r="M148" s="16" t="str">
        <f t="shared" si="13"/>
        <v/>
      </c>
      <c r="R148" s="16" t="str">
        <f t="shared" si="14"/>
        <v/>
      </c>
      <c r="S148" s="16" t="str" cm="1">
        <f t="array" ref="S148">IFERROR(_xlfn.IFS(I148="Offensive Rebound",1),"")</f>
        <v/>
      </c>
      <c r="T148" s="16" t="str" cm="1">
        <f t="array" ref="T148">IFERROR(_xlfn.IFS(I148="Defensive Rebound",1),"")</f>
        <v/>
      </c>
      <c r="U148" s="16" t="str" cm="1">
        <f t="array" ref="U148">IFERROR(_xlfn.IFS(I148="Assist",1),"")</f>
        <v/>
      </c>
      <c r="V148" s="16" t="str" cm="1">
        <f t="array" ref="V148">IFERROR(_xlfn.IFS(I148="Turnover",1),"")</f>
        <v/>
      </c>
      <c r="W148" s="16" t="str" cm="1">
        <f t="array" ref="W148">IFERROR(_xlfn.IFS(I148="Steal",1),"")</f>
        <v/>
      </c>
      <c r="X148" s="16" t="str" cm="1">
        <f t="array" ref="X148">IFERROR(_xlfn.IFS(I148="Block",1),"")</f>
        <v/>
      </c>
      <c r="Y148" s="16" cm="1">
        <f t="array" ref="Y148">IFERROR(_xlfn.IFS(I148="Block Received",1),"")</f>
        <v>1</v>
      </c>
      <c r="Z148" s="16" t="str" cm="1">
        <f t="array" ref="Z148">IFERROR(_xlfn.IFS(I148="Foul",1,I148="Foul Technical",1,I148="Offensive Foul",1),"")</f>
        <v/>
      </c>
      <c r="AA148" s="16" t="str" cm="1">
        <f t="array" ref="AA148">IFERROR(_xlfn.IFS(I148="Foul Received",1),"")</f>
        <v/>
      </c>
      <c r="AB148" s="49" t="str" cm="1">
        <f t="array" ref="AB148">IFERROR(_xlfn.IFS(I148="Starting lineup",C148,I148="Substitution - In",C148),"")</f>
        <v/>
      </c>
      <c r="AC148" s="46" t="str" cm="1">
        <f t="array" ref="AC148">IFERROR(_xlfn.IFS(I148="Finishing lineup",C148,I148="Substitution - Out",C148),"")</f>
        <v/>
      </c>
      <c r="AD148" s="46" t="str" cm="1">
        <f t="array" ref="AD148">IF(AC148&lt;&gt;"",LOOKUP(2,1/((G$2:G147=G148)*(AB$2:AB147&lt;&gt;"")),AB$2:AB147)-AC148,"")</f>
        <v/>
      </c>
      <c r="AE148" s="50" t="str" cm="1">
        <f t="array" ref="AE148">IF(AC148&lt;&gt;"",LOOKUP(2,1/((G$2:G147=G148)*(AB$2:AB147&lt;&gt;"")),AB$2:AB147)-AC148,"")</f>
        <v/>
      </c>
    </row>
    <row r="149" spans="1:31" hidden="1" x14ac:dyDescent="0.35">
      <c r="A149" s="19">
        <v>1</v>
      </c>
      <c r="B149" s="19">
        <v>148</v>
      </c>
      <c r="C149" s="46">
        <v>1.1921296296296296E-3</v>
      </c>
      <c r="D149" s="16">
        <f t="shared" si="11"/>
        <v>1</v>
      </c>
      <c r="E149" s="16">
        <f t="shared" si="12"/>
        <v>43</v>
      </c>
      <c r="F149" s="19" t="s">
        <v>16</v>
      </c>
      <c r="G149" s="16" t="s">
        <v>43</v>
      </c>
      <c r="H149" s="16" t="str">
        <f>_xlfn.XLOOKUP(G149,'1-Players'!$A$2:$A$27,'1-Players'!$D$2:$D$27,"")</f>
        <v>Cameron Krutwig</v>
      </c>
      <c r="I149" s="19" t="s">
        <v>64</v>
      </c>
      <c r="K149" s="16" t="str" cm="1">
        <f t="array" ref="K149">IFERROR(_xlfn.IFS(I149="Free Throw",1,I149="2-Point Shot",2,I149="Dunk",2,I149="3-Point Shot",3),"")</f>
        <v/>
      </c>
      <c r="L149" s="16" t="str" cm="1">
        <f t="array" ref="L149">IFERROR(_xlfn.IFS(J149="Made",1,J149="Missed",0),"")</f>
        <v/>
      </c>
      <c r="M149" s="16" t="str">
        <f t="shared" si="13"/>
        <v/>
      </c>
      <c r="R149" s="16" t="str">
        <f t="shared" si="14"/>
        <v/>
      </c>
      <c r="S149" s="16" t="str" cm="1">
        <f t="array" ref="S149">IFERROR(_xlfn.IFS(I149="Offensive Rebound",1),"")</f>
        <v/>
      </c>
      <c r="T149" s="16" t="str" cm="1">
        <f t="array" ref="T149">IFERROR(_xlfn.IFS(I149="Defensive Rebound",1),"")</f>
        <v/>
      </c>
      <c r="U149" s="16" t="str" cm="1">
        <f t="array" ref="U149">IFERROR(_xlfn.IFS(I149="Assist",1),"")</f>
        <v/>
      </c>
      <c r="V149" s="16" t="str" cm="1">
        <f t="array" ref="V149">IFERROR(_xlfn.IFS(I149="Turnover",1),"")</f>
        <v/>
      </c>
      <c r="W149" s="16" t="str" cm="1">
        <f t="array" ref="W149">IFERROR(_xlfn.IFS(I149="Steal",1),"")</f>
        <v/>
      </c>
      <c r="X149" s="16" cm="1">
        <f t="array" ref="X149">IFERROR(_xlfn.IFS(I149="Block",1),"")</f>
        <v>1</v>
      </c>
      <c r="Y149" s="16" t="str" cm="1">
        <f t="array" ref="Y149">IFERROR(_xlfn.IFS(I149="Block Received",1),"")</f>
        <v/>
      </c>
      <c r="Z149" s="16" t="str" cm="1">
        <f t="array" ref="Z149">IFERROR(_xlfn.IFS(I149="Foul",1,I149="Foul Technical",1,I149="Offensive Foul",1),"")</f>
        <v/>
      </c>
      <c r="AA149" s="16" t="str" cm="1">
        <f t="array" ref="AA149">IFERROR(_xlfn.IFS(I149="Foul Received",1),"")</f>
        <v/>
      </c>
      <c r="AB149" s="49" t="str" cm="1">
        <f t="array" ref="AB149">IFERROR(_xlfn.IFS(I149="Starting lineup",C149,I149="Substitution - In",C149),"")</f>
        <v/>
      </c>
      <c r="AC149" s="46" t="str" cm="1">
        <f t="array" ref="AC149">IFERROR(_xlfn.IFS(I149="Finishing lineup",C149,I149="Substitution - Out",C149),"")</f>
        <v/>
      </c>
      <c r="AD149" s="46" t="str" cm="1">
        <f t="array" ref="AD149">IF(AC149&lt;&gt;"",LOOKUP(2,1/((G$2:G148=G149)*(AB$2:AB148&lt;&gt;"")),AB$2:AB148)-AC149,"")</f>
        <v/>
      </c>
      <c r="AE149" s="50" t="str" cm="1">
        <f t="array" ref="AE149">IF(AC149&lt;&gt;"",LOOKUP(2,1/((G$2:G148=G149)*(AB$2:AB148&lt;&gt;"")),AB$2:AB148)-AC149,"")</f>
        <v/>
      </c>
    </row>
    <row r="150" spans="1:31" hidden="1" x14ac:dyDescent="0.35">
      <c r="A150" s="16">
        <v>1</v>
      </c>
      <c r="B150" s="19">
        <v>149</v>
      </c>
      <c r="C150" s="46">
        <v>1.1921296296296296E-3</v>
      </c>
      <c r="D150" s="16">
        <f t="shared" si="11"/>
        <v>1</v>
      </c>
      <c r="E150" s="16">
        <f t="shared" si="12"/>
        <v>43</v>
      </c>
      <c r="F150" s="19" t="s">
        <v>46</v>
      </c>
      <c r="G150" s="16" t="s">
        <v>120</v>
      </c>
      <c r="H150" s="16" t="str">
        <f>_xlfn.XLOOKUP(G150,'1-Players'!$A$2:$A$27,'1-Players'!$D$2:$D$27,"")</f>
        <v>TEAM - Manresa</v>
      </c>
      <c r="I150" s="19" t="s">
        <v>109</v>
      </c>
      <c r="K150" s="16" t="str" cm="1">
        <f t="array" ref="K150">IFERROR(_xlfn.IFS(I150="Free Throw",1,I150="2-Point Shot",2,I150="Dunk",2,I150="3-Point Shot",3),"")</f>
        <v/>
      </c>
      <c r="L150" s="16" t="str" cm="1">
        <f t="array" ref="L150">IFERROR(_xlfn.IFS(J150="Made",1,J150="Missed",0),"")</f>
        <v/>
      </c>
      <c r="M150" s="16" t="str">
        <f t="shared" si="13"/>
        <v/>
      </c>
      <c r="R150" s="16" t="str">
        <f t="shared" si="14"/>
        <v/>
      </c>
      <c r="S150" s="16" cm="1">
        <f t="array" ref="S150">IFERROR(_xlfn.IFS(I150="Offensive Rebound",1),"")</f>
        <v>1</v>
      </c>
      <c r="T150" s="16" t="str" cm="1">
        <f t="array" ref="T150">IFERROR(_xlfn.IFS(I150="Defensive Rebound",1),"")</f>
        <v/>
      </c>
      <c r="U150" s="16" t="str" cm="1">
        <f t="array" ref="U150">IFERROR(_xlfn.IFS(I150="Assist",1),"")</f>
        <v/>
      </c>
      <c r="V150" s="16" t="str" cm="1">
        <f t="array" ref="V150">IFERROR(_xlfn.IFS(I150="Turnover",1),"")</f>
        <v/>
      </c>
      <c r="W150" s="16" t="str" cm="1">
        <f t="array" ref="W150">IFERROR(_xlfn.IFS(I150="Steal",1),"")</f>
        <v/>
      </c>
      <c r="X150" s="16" t="str" cm="1">
        <f t="array" ref="X150">IFERROR(_xlfn.IFS(I150="Block",1),"")</f>
        <v/>
      </c>
      <c r="Y150" s="16" t="str" cm="1">
        <f t="array" ref="Y150">IFERROR(_xlfn.IFS(I150="Block Received",1),"")</f>
        <v/>
      </c>
      <c r="Z150" s="16" t="str" cm="1">
        <f t="array" ref="Z150">IFERROR(_xlfn.IFS(I150="Foul",1,I150="Foul Technical",1,I150="Offensive Foul",1),"")</f>
        <v/>
      </c>
      <c r="AA150" s="16" t="str" cm="1">
        <f t="array" ref="AA150">IFERROR(_xlfn.IFS(I150="Foul Received",1),"")</f>
        <v/>
      </c>
      <c r="AB150" s="49" t="str" cm="1">
        <f t="array" ref="AB150">IFERROR(_xlfn.IFS(I150="Starting lineup",C150,I150="Substitution - In",C150),"")</f>
        <v/>
      </c>
      <c r="AC150" s="46" t="str" cm="1">
        <f t="array" ref="AC150">IFERROR(_xlfn.IFS(I150="Finishing lineup",C150,I150="Substitution - Out",C150),"")</f>
        <v/>
      </c>
      <c r="AD150" s="46" t="str" cm="1">
        <f t="array" ref="AD150">IF(AC150&lt;&gt;"",LOOKUP(2,1/((G$2:G149=G150)*(AB$2:AB149&lt;&gt;"")),AB$2:AB149)-AC150,"")</f>
        <v/>
      </c>
      <c r="AE150" s="50" t="str" cm="1">
        <f t="array" ref="AE150">IF(AC150&lt;&gt;"",LOOKUP(2,1/((G$2:G149=G150)*(AB$2:AB149&lt;&gt;"")),AB$2:AB149)-AC150,"")</f>
        <v/>
      </c>
    </row>
    <row r="151" spans="1:31" hidden="1" x14ac:dyDescent="0.35">
      <c r="A151" s="16">
        <v>1</v>
      </c>
      <c r="B151" s="19">
        <v>150</v>
      </c>
      <c r="C151" s="46">
        <v>1.1805555555555556E-3</v>
      </c>
      <c r="D151" s="16">
        <f t="shared" si="11"/>
        <v>1</v>
      </c>
      <c r="E151" s="16">
        <f t="shared" si="12"/>
        <v>42</v>
      </c>
      <c r="F151" s="19" t="s">
        <v>46</v>
      </c>
      <c r="G151" s="16" t="s">
        <v>69</v>
      </c>
      <c r="H151" s="16" t="str">
        <f>_xlfn.XLOOKUP(G151,'1-Players'!$A$2:$A$27,'1-Players'!$D$2:$D$27,"")</f>
        <v>Alfonso Plummer</v>
      </c>
      <c r="I151" s="19" t="s">
        <v>83</v>
      </c>
      <c r="J151" s="19" t="s">
        <v>63</v>
      </c>
      <c r="K151" s="16" cm="1">
        <f t="array" ref="K151">IFERROR(_xlfn.IFS(I151="Free Throw",1,I151="2-Point Shot",2,I151="Dunk",2,I151="3-Point Shot",3),"")</f>
        <v>3</v>
      </c>
      <c r="L151" s="16" cm="1">
        <f t="array" ref="L151">IFERROR(_xlfn.IFS(J151="Made",1,J151="Missed",0),"")</f>
        <v>0</v>
      </c>
      <c r="M151" s="16">
        <f t="shared" si="13"/>
        <v>0</v>
      </c>
      <c r="N151" s="16" t="s">
        <v>186</v>
      </c>
      <c r="O151" s="16" t="s">
        <v>184</v>
      </c>
      <c r="P151" s="16">
        <v>5</v>
      </c>
      <c r="Q151" s="16" t="s">
        <v>102</v>
      </c>
      <c r="R151" s="16" t="str">
        <f t="shared" si="14"/>
        <v/>
      </c>
      <c r="S151" s="16" t="str" cm="1">
        <f t="array" ref="S151">IFERROR(_xlfn.IFS(I151="Offensive Rebound",1),"")</f>
        <v/>
      </c>
      <c r="T151" s="16" t="str" cm="1">
        <f t="array" ref="T151">IFERROR(_xlfn.IFS(I151="Defensive Rebound",1),"")</f>
        <v/>
      </c>
      <c r="U151" s="16" t="str" cm="1">
        <f t="array" ref="U151">IFERROR(_xlfn.IFS(I151="Assist",1),"")</f>
        <v/>
      </c>
      <c r="V151" s="16" t="str" cm="1">
        <f t="array" ref="V151">IFERROR(_xlfn.IFS(I151="Turnover",1),"")</f>
        <v/>
      </c>
      <c r="W151" s="16" t="str" cm="1">
        <f t="array" ref="W151">IFERROR(_xlfn.IFS(I151="Steal",1),"")</f>
        <v/>
      </c>
      <c r="X151" s="16" t="str" cm="1">
        <f t="array" ref="X151">IFERROR(_xlfn.IFS(I151="Block",1),"")</f>
        <v/>
      </c>
      <c r="Y151" s="16" t="str" cm="1">
        <f t="array" ref="Y151">IFERROR(_xlfn.IFS(I151="Block Received",1),"")</f>
        <v/>
      </c>
      <c r="Z151" s="16" t="str" cm="1">
        <f t="array" ref="Z151">IFERROR(_xlfn.IFS(I151="Foul",1,I151="Foul Technical",1,I151="Offensive Foul",1),"")</f>
        <v/>
      </c>
      <c r="AA151" s="16" t="str" cm="1">
        <f t="array" ref="AA151">IFERROR(_xlfn.IFS(I151="Foul Received",1),"")</f>
        <v/>
      </c>
      <c r="AB151" s="49" t="str" cm="1">
        <f t="array" ref="AB151">IFERROR(_xlfn.IFS(I151="Starting lineup",C151,I151="Substitution - In",C151),"")</f>
        <v/>
      </c>
      <c r="AC151" s="46" t="str" cm="1">
        <f t="array" ref="AC151">IFERROR(_xlfn.IFS(I151="Finishing lineup",C151,I151="Substitution - Out",C151),"")</f>
        <v/>
      </c>
      <c r="AD151" s="46" t="str" cm="1">
        <f t="array" ref="AD151">IF(AC151&lt;&gt;"",LOOKUP(2,1/((G$2:G150=G151)*(AB$2:AB150&lt;&gt;"")),AB$2:AB150)-AC151,"")</f>
        <v/>
      </c>
      <c r="AE151" s="50" t="str" cm="1">
        <f t="array" ref="AE151">IF(AC151&lt;&gt;"",LOOKUP(2,1/((G$2:G150=G151)*(AB$2:AB150&lt;&gt;"")),AB$2:AB150)-AC151,"")</f>
        <v/>
      </c>
    </row>
    <row r="152" spans="1:31" hidden="1" x14ac:dyDescent="0.35">
      <c r="A152" s="19">
        <v>1</v>
      </c>
      <c r="B152" s="19">
        <v>151</v>
      </c>
      <c r="C152" s="46">
        <v>1.1805555555555556E-3</v>
      </c>
      <c r="D152" s="16">
        <f t="shared" si="11"/>
        <v>1</v>
      </c>
      <c r="E152" s="16">
        <f t="shared" si="12"/>
        <v>42</v>
      </c>
      <c r="F152" s="19" t="s">
        <v>46</v>
      </c>
      <c r="G152" s="16" t="s">
        <v>120</v>
      </c>
      <c r="H152" s="16" t="str">
        <f>_xlfn.XLOOKUP(G152,'1-Players'!$A$2:$A$27,'1-Players'!$D$2:$D$27,"")</f>
        <v>TEAM - Manresa</v>
      </c>
      <c r="I152" s="19" t="s">
        <v>109</v>
      </c>
      <c r="K152" s="16" t="str" cm="1">
        <f t="array" ref="K152">IFERROR(_xlfn.IFS(I152="Free Throw",1,I152="2-Point Shot",2,I152="Dunk",2,I152="3-Point Shot",3),"")</f>
        <v/>
      </c>
      <c r="L152" s="16" t="str" cm="1">
        <f t="array" ref="L152">IFERROR(_xlfn.IFS(J152="Made",1,J152="Missed",0),"")</f>
        <v/>
      </c>
      <c r="M152" s="16" t="str">
        <f t="shared" si="13"/>
        <v/>
      </c>
      <c r="R152" s="16" t="str">
        <f t="shared" si="14"/>
        <v/>
      </c>
      <c r="S152" s="16" cm="1">
        <f t="array" ref="S152">IFERROR(_xlfn.IFS(I152="Offensive Rebound",1),"")</f>
        <v>1</v>
      </c>
      <c r="T152" s="16" t="str" cm="1">
        <f t="array" ref="T152">IFERROR(_xlfn.IFS(I152="Defensive Rebound",1),"")</f>
        <v/>
      </c>
      <c r="U152" s="16" t="str" cm="1">
        <f t="array" ref="U152">IFERROR(_xlfn.IFS(I152="Assist",1),"")</f>
        <v/>
      </c>
      <c r="V152" s="16" t="str" cm="1">
        <f t="array" ref="V152">IFERROR(_xlfn.IFS(I152="Turnover",1),"")</f>
        <v/>
      </c>
      <c r="W152" s="16" t="str" cm="1">
        <f t="array" ref="W152">IFERROR(_xlfn.IFS(I152="Steal",1),"")</f>
        <v/>
      </c>
      <c r="X152" s="16" t="str" cm="1">
        <f t="array" ref="X152">IFERROR(_xlfn.IFS(I152="Block",1),"")</f>
        <v/>
      </c>
      <c r="Y152" s="16" t="str" cm="1">
        <f t="array" ref="Y152">IFERROR(_xlfn.IFS(I152="Block Received",1),"")</f>
        <v/>
      </c>
      <c r="Z152" s="16" t="str" cm="1">
        <f t="array" ref="Z152">IFERROR(_xlfn.IFS(I152="Foul",1,I152="Foul Technical",1,I152="Offensive Foul",1),"")</f>
        <v/>
      </c>
      <c r="AA152" s="16" t="str" cm="1">
        <f t="array" ref="AA152">IFERROR(_xlfn.IFS(I152="Foul Received",1),"")</f>
        <v/>
      </c>
      <c r="AB152" s="49" t="str" cm="1">
        <f t="array" ref="AB152">IFERROR(_xlfn.IFS(I152="Starting lineup",C152,I152="Substitution - In",C152),"")</f>
        <v/>
      </c>
      <c r="AC152" s="46" t="str" cm="1">
        <f t="array" ref="AC152">IFERROR(_xlfn.IFS(I152="Finishing lineup",C152,I152="Substitution - Out",C152),"")</f>
        <v/>
      </c>
      <c r="AD152" s="46" t="str" cm="1">
        <f t="array" ref="AD152">IF(AC152&lt;&gt;"",LOOKUP(2,1/((G$2:G151=G152)*(AB$2:AB151&lt;&gt;"")),AB$2:AB151)-AC152,"")</f>
        <v/>
      </c>
      <c r="AE152" s="50" t="str" cm="1">
        <f t="array" ref="AE152">IF(AC152&lt;&gt;"",LOOKUP(2,1/((G$2:G151=G152)*(AB$2:AB151&lt;&gt;"")),AB$2:AB151)-AC152,"")</f>
        <v/>
      </c>
    </row>
    <row r="153" spans="1:31" hidden="1" x14ac:dyDescent="0.35">
      <c r="A153" s="16">
        <v>1</v>
      </c>
      <c r="B153" s="19">
        <v>152</v>
      </c>
      <c r="C153" s="46">
        <v>1.0185185185185184E-3</v>
      </c>
      <c r="D153" s="16">
        <f t="shared" si="11"/>
        <v>1</v>
      </c>
      <c r="E153" s="16">
        <f t="shared" si="12"/>
        <v>28</v>
      </c>
      <c r="F153" s="19" t="s">
        <v>46</v>
      </c>
      <c r="G153" s="16" t="s">
        <v>68</v>
      </c>
      <c r="H153" s="16" t="str">
        <f>_xlfn.XLOOKUP(G153,'1-Players'!$A$2:$A$27,'1-Players'!$D$2:$D$27,"")</f>
        <v>Dani Pérez</v>
      </c>
      <c r="I153" s="19" t="s">
        <v>82</v>
      </c>
      <c r="J153" s="19" t="s">
        <v>63</v>
      </c>
      <c r="K153" s="16" cm="1">
        <f t="array" ref="K153">IFERROR(_xlfn.IFS(I153="Free Throw",1,I153="2-Point Shot",2,I153="Dunk",2,I153="3-Point Shot",3),"")</f>
        <v>2</v>
      </c>
      <c r="L153" s="16" cm="1">
        <f t="array" ref="L153">IFERROR(_xlfn.IFS(J153="Made",1,J153="Missed",0),"")</f>
        <v>0</v>
      </c>
      <c r="M153" s="16">
        <f t="shared" si="13"/>
        <v>0</v>
      </c>
      <c r="N153" s="16" t="s">
        <v>177</v>
      </c>
      <c r="O153" s="16" t="s">
        <v>178</v>
      </c>
      <c r="P153" s="16">
        <v>4</v>
      </c>
      <c r="Q153" s="16" t="s">
        <v>125</v>
      </c>
      <c r="R153" s="16" t="str">
        <f t="shared" si="14"/>
        <v/>
      </c>
      <c r="S153" s="16" t="str" cm="1">
        <f t="array" ref="S153">IFERROR(_xlfn.IFS(I153="Offensive Rebound",1),"")</f>
        <v/>
      </c>
      <c r="T153" s="16" t="str" cm="1">
        <f t="array" ref="T153">IFERROR(_xlfn.IFS(I153="Defensive Rebound",1),"")</f>
        <v/>
      </c>
      <c r="U153" s="16" t="str" cm="1">
        <f t="array" ref="U153">IFERROR(_xlfn.IFS(I153="Assist",1),"")</f>
        <v/>
      </c>
      <c r="V153" s="16" t="str" cm="1">
        <f t="array" ref="V153">IFERROR(_xlfn.IFS(I153="Turnover",1),"")</f>
        <v/>
      </c>
      <c r="W153" s="16" t="str" cm="1">
        <f t="array" ref="W153">IFERROR(_xlfn.IFS(I153="Steal",1),"")</f>
        <v/>
      </c>
      <c r="X153" s="16" t="str" cm="1">
        <f t="array" ref="X153">IFERROR(_xlfn.IFS(I153="Block",1),"")</f>
        <v/>
      </c>
      <c r="Y153" s="16" t="str" cm="1">
        <f t="array" ref="Y153">IFERROR(_xlfn.IFS(I153="Block Received",1),"")</f>
        <v/>
      </c>
      <c r="Z153" s="16" t="str" cm="1">
        <f t="array" ref="Z153">IFERROR(_xlfn.IFS(I153="Foul",1,I153="Foul Technical",1,I153="Offensive Foul",1),"")</f>
        <v/>
      </c>
      <c r="AA153" s="16" t="str" cm="1">
        <f t="array" ref="AA153">IFERROR(_xlfn.IFS(I153="Foul Received",1),"")</f>
        <v/>
      </c>
      <c r="AB153" s="49" t="str" cm="1">
        <f t="array" ref="AB153">IFERROR(_xlfn.IFS(I153="Starting lineup",C153,I153="Substitution - In",C153),"")</f>
        <v/>
      </c>
      <c r="AC153" s="46" t="str" cm="1">
        <f t="array" ref="AC153">IFERROR(_xlfn.IFS(I153="Finishing lineup",C153,I153="Substitution - Out",C153),"")</f>
        <v/>
      </c>
      <c r="AD153" s="46" t="str" cm="1">
        <f t="array" ref="AD153">IF(AC153&lt;&gt;"",LOOKUP(2,1/((G$2:G152=G153)*(AB$2:AB152&lt;&gt;"")),AB$2:AB152)-AC153,"")</f>
        <v/>
      </c>
      <c r="AE153" s="50" t="str" cm="1">
        <f t="array" ref="AE153">IF(AC153&lt;&gt;"",LOOKUP(2,1/((G$2:G152=G153)*(AB$2:AB152&lt;&gt;"")),AB$2:AB152)-AC153,"")</f>
        <v/>
      </c>
    </row>
    <row r="154" spans="1:31" hidden="1" x14ac:dyDescent="0.35">
      <c r="A154" s="16">
        <v>1</v>
      </c>
      <c r="B154" s="19">
        <v>153</v>
      </c>
      <c r="C154" s="46">
        <v>1.0185185185185184E-3</v>
      </c>
      <c r="D154" s="16">
        <f t="shared" si="11"/>
        <v>1</v>
      </c>
      <c r="E154" s="16">
        <f t="shared" si="12"/>
        <v>28</v>
      </c>
      <c r="F154" s="19" t="s">
        <v>46</v>
      </c>
      <c r="G154" s="16" t="s">
        <v>69</v>
      </c>
      <c r="H154" s="16" t="str">
        <f>_xlfn.XLOOKUP(G154,'1-Players'!$A$2:$A$27,'1-Players'!$D$2:$D$27,"")</f>
        <v>Alfonso Plummer</v>
      </c>
      <c r="I154" s="19" t="s">
        <v>109</v>
      </c>
      <c r="K154" s="16" t="str" cm="1">
        <f t="array" ref="K154">IFERROR(_xlfn.IFS(I154="Free Throw",1,I154="2-Point Shot",2,I154="Dunk",2,I154="3-Point Shot",3),"")</f>
        <v/>
      </c>
      <c r="L154" s="16" t="str" cm="1">
        <f t="array" ref="L154">IFERROR(_xlfn.IFS(J154="Made",1,J154="Missed",0),"")</f>
        <v/>
      </c>
      <c r="M154" s="16" t="str">
        <f t="shared" si="13"/>
        <v/>
      </c>
      <c r="R154" s="16" t="str">
        <f t="shared" si="14"/>
        <v/>
      </c>
      <c r="S154" s="16" cm="1">
        <f t="array" ref="S154">IFERROR(_xlfn.IFS(I154="Offensive Rebound",1),"")</f>
        <v>1</v>
      </c>
      <c r="T154" s="16" t="str" cm="1">
        <f t="array" ref="T154">IFERROR(_xlfn.IFS(I154="Defensive Rebound",1),"")</f>
        <v/>
      </c>
      <c r="U154" s="16" t="str" cm="1">
        <f t="array" ref="U154">IFERROR(_xlfn.IFS(I154="Assist",1),"")</f>
        <v/>
      </c>
      <c r="V154" s="16" t="str" cm="1">
        <f t="array" ref="V154">IFERROR(_xlfn.IFS(I154="Turnover",1),"")</f>
        <v/>
      </c>
      <c r="W154" s="16" t="str" cm="1">
        <f t="array" ref="W154">IFERROR(_xlfn.IFS(I154="Steal",1),"")</f>
        <v/>
      </c>
      <c r="X154" s="16" t="str" cm="1">
        <f t="array" ref="X154">IFERROR(_xlfn.IFS(I154="Block",1),"")</f>
        <v/>
      </c>
      <c r="Y154" s="16" t="str" cm="1">
        <f t="array" ref="Y154">IFERROR(_xlfn.IFS(I154="Block Received",1),"")</f>
        <v/>
      </c>
      <c r="Z154" s="16" t="str" cm="1">
        <f t="array" ref="Z154">IFERROR(_xlfn.IFS(I154="Foul",1,I154="Foul Technical",1,I154="Offensive Foul",1),"")</f>
        <v/>
      </c>
      <c r="AA154" s="16" t="str" cm="1">
        <f t="array" ref="AA154">IFERROR(_xlfn.IFS(I154="Foul Received",1),"")</f>
        <v/>
      </c>
      <c r="AB154" s="49" t="str" cm="1">
        <f t="array" ref="AB154">IFERROR(_xlfn.IFS(I154="Starting lineup",C154,I154="Substitution - In",C154),"")</f>
        <v/>
      </c>
      <c r="AC154" s="46" t="str" cm="1">
        <f t="array" ref="AC154">IFERROR(_xlfn.IFS(I154="Finishing lineup",C154,I154="Substitution - Out",C154),"")</f>
        <v/>
      </c>
      <c r="AD154" s="46" t="str" cm="1">
        <f t="array" ref="AD154">IF(AC154&lt;&gt;"",LOOKUP(2,1/((G$2:G153=G154)*(AB$2:AB153&lt;&gt;"")),AB$2:AB153)-AC154,"")</f>
        <v/>
      </c>
      <c r="AE154" s="50" t="str" cm="1">
        <f t="array" ref="AE154">IF(AC154&lt;&gt;"",LOOKUP(2,1/((G$2:G153=G154)*(AB$2:AB153&lt;&gt;"")),AB$2:AB153)-AC154,"")</f>
        <v/>
      </c>
    </row>
    <row r="155" spans="1:31" hidden="1" x14ac:dyDescent="0.35">
      <c r="A155" s="16">
        <v>1</v>
      </c>
      <c r="B155" s="19">
        <v>154</v>
      </c>
      <c r="C155" s="46">
        <v>9.837962962962962E-4</v>
      </c>
      <c r="D155" s="16">
        <f t="shared" ref="D155" si="15">MINUTE(C155)</f>
        <v>1</v>
      </c>
      <c r="E155" s="16">
        <f t="shared" si="12"/>
        <v>25</v>
      </c>
      <c r="F155" s="19" t="s">
        <v>46</v>
      </c>
      <c r="G155" s="16" t="s">
        <v>69</v>
      </c>
      <c r="H155" s="16" t="str">
        <f>_xlfn.XLOOKUP(G155,'1-Players'!$A$2:$A$27,'1-Players'!$D$2:$D$27,"")</f>
        <v>Alfonso Plummer</v>
      </c>
      <c r="I155" s="19" t="s">
        <v>82</v>
      </c>
      <c r="J155" s="19" t="s">
        <v>60</v>
      </c>
      <c r="K155" s="16" cm="1">
        <f t="array" ref="K155">IFERROR(_xlfn.IFS(I155="Free Throw",1,I155="2-Point Shot",2,I155="Dunk",2,I155="3-Point Shot",3),"")</f>
        <v>2</v>
      </c>
      <c r="L155" s="16" cm="1">
        <f t="array" ref="L155">IFERROR(_xlfn.IFS(J155="Made",1,J155="Missed",0),"")</f>
        <v>1</v>
      </c>
      <c r="M155" s="16">
        <f t="shared" si="13"/>
        <v>2</v>
      </c>
      <c r="N155" s="16" t="s">
        <v>186</v>
      </c>
      <c r="O155" s="16" t="s">
        <v>189</v>
      </c>
      <c r="P155" s="16">
        <v>13</v>
      </c>
      <c r="Q155" s="16" t="s">
        <v>125</v>
      </c>
      <c r="R155" s="16" t="str">
        <f t="shared" si="14"/>
        <v>N</v>
      </c>
      <c r="S155" s="16" t="str" cm="1">
        <f t="array" ref="S155">IFERROR(_xlfn.IFS(I155="Offensive Rebound",1),"")</f>
        <v/>
      </c>
      <c r="T155" s="16" t="str" cm="1">
        <f t="array" ref="T155">IFERROR(_xlfn.IFS(I155="Defensive Rebound",1),"")</f>
        <v/>
      </c>
      <c r="U155" s="16" t="str" cm="1">
        <f t="array" ref="U155">IFERROR(_xlfn.IFS(I155="Assist",1),"")</f>
        <v/>
      </c>
      <c r="V155" s="16" t="str" cm="1">
        <f t="array" ref="V155">IFERROR(_xlfn.IFS(I155="Turnover",1),"")</f>
        <v/>
      </c>
      <c r="W155" s="16" t="str" cm="1">
        <f t="array" ref="W155">IFERROR(_xlfn.IFS(I155="Steal",1),"")</f>
        <v/>
      </c>
      <c r="X155" s="16" t="str" cm="1">
        <f t="array" ref="X155">IFERROR(_xlfn.IFS(I155="Block",1),"")</f>
        <v/>
      </c>
      <c r="Y155" s="16" t="str" cm="1">
        <f t="array" ref="Y155">IFERROR(_xlfn.IFS(I155="Block Received",1),"")</f>
        <v/>
      </c>
      <c r="Z155" s="16" t="str" cm="1">
        <f t="array" ref="Z155">IFERROR(_xlfn.IFS(I155="Foul",1,I155="Foul Technical",1,I155="Offensive Foul",1),"")</f>
        <v/>
      </c>
      <c r="AA155" s="16" t="str" cm="1">
        <f t="array" ref="AA155">IFERROR(_xlfn.IFS(I155="Foul Received",1),"")</f>
        <v/>
      </c>
      <c r="AB155" s="49" t="str" cm="1">
        <f t="array" ref="AB155">IFERROR(_xlfn.IFS(I155="Starting lineup",C155,I155="Substitution - In",C155),"")</f>
        <v/>
      </c>
      <c r="AC155" s="46" t="str" cm="1">
        <f t="array" ref="AC155">IFERROR(_xlfn.IFS(I155="Finishing lineup",C155,I155="Substitution - Out",C155),"")</f>
        <v/>
      </c>
      <c r="AD155" s="46" t="str" cm="1">
        <f t="array" ref="AD155">IF(AC155&lt;&gt;"",LOOKUP(2,1/((G$2:G154=G155)*(AB$2:AB154&lt;&gt;"")),AB$2:AB154)-AC155,"")</f>
        <v/>
      </c>
      <c r="AE155" s="50" t="str" cm="1">
        <f t="array" ref="AE155">IF(AC155&lt;&gt;"",LOOKUP(2,1/((G$2:G154=G155)*(AB$2:AB154&lt;&gt;"")),AB$2:AB154)-AC155,"")</f>
        <v/>
      </c>
    </row>
    <row r="156" spans="1:31" hidden="1" x14ac:dyDescent="0.35">
      <c r="A156" s="16">
        <v>1</v>
      </c>
      <c r="B156" s="19">
        <v>155</v>
      </c>
      <c r="C156" s="46">
        <v>7.407407407407407E-4</v>
      </c>
      <c r="D156" s="16">
        <f t="shared" ref="D156" si="16">MINUTE(C156)</f>
        <v>1</v>
      </c>
      <c r="E156" s="16">
        <f t="shared" si="12"/>
        <v>4</v>
      </c>
      <c r="F156" s="19" t="s">
        <v>16</v>
      </c>
      <c r="G156" s="16" t="s">
        <v>43</v>
      </c>
      <c r="H156" s="16" t="str">
        <f>_xlfn.XLOOKUP(G156,'1-Players'!$A$2:$A$27,'1-Players'!$D$2:$D$27,"")</f>
        <v>Cameron Krutwig</v>
      </c>
      <c r="I156" s="19" t="s">
        <v>82</v>
      </c>
      <c r="J156" s="19" t="s">
        <v>60</v>
      </c>
      <c r="K156" s="16" cm="1">
        <f t="array" ref="K156">IFERROR(_xlfn.IFS(I156="Free Throw",1,I156="2-Point Shot",2,I156="Dunk",2,I156="3-Point Shot",3),"")</f>
        <v>2</v>
      </c>
      <c r="L156" s="16" cm="1">
        <f t="array" ref="L156">IFERROR(_xlfn.IFS(J156="Made",1,J156="Missed",0),"")</f>
        <v>1</v>
      </c>
      <c r="M156" s="16">
        <f t="shared" si="13"/>
        <v>2</v>
      </c>
      <c r="N156" s="16" t="s">
        <v>177</v>
      </c>
      <c r="O156" s="16" t="s">
        <v>185</v>
      </c>
      <c r="P156" s="16">
        <v>11</v>
      </c>
      <c r="Q156" s="16" t="s">
        <v>125</v>
      </c>
      <c r="R156" s="16" t="str">
        <f t="shared" si="14"/>
        <v>S</v>
      </c>
      <c r="S156" s="16" t="str" cm="1">
        <f t="array" ref="S156">IFERROR(_xlfn.IFS(I156="Offensive Rebound",1),"")</f>
        <v/>
      </c>
      <c r="T156" s="16" t="str" cm="1">
        <f t="array" ref="T156">IFERROR(_xlfn.IFS(I156="Defensive Rebound",1),"")</f>
        <v/>
      </c>
      <c r="U156" s="16" t="str" cm="1">
        <f t="array" ref="U156">IFERROR(_xlfn.IFS(I156="Assist",1),"")</f>
        <v/>
      </c>
      <c r="V156" s="16" t="str" cm="1">
        <f t="array" ref="V156">IFERROR(_xlfn.IFS(I156="Turnover",1),"")</f>
        <v/>
      </c>
      <c r="W156" s="16" t="str" cm="1">
        <f t="array" ref="W156">IFERROR(_xlfn.IFS(I156="Steal",1),"")</f>
        <v/>
      </c>
      <c r="X156" s="16" t="str" cm="1">
        <f t="array" ref="X156">IFERROR(_xlfn.IFS(I156="Block",1),"")</f>
        <v/>
      </c>
      <c r="Y156" s="16" t="str" cm="1">
        <f t="array" ref="Y156">IFERROR(_xlfn.IFS(I156="Block Received",1),"")</f>
        <v/>
      </c>
      <c r="Z156" s="16" t="str" cm="1">
        <f t="array" ref="Z156">IFERROR(_xlfn.IFS(I156="Foul",1,I156="Foul Technical",1,I156="Offensive Foul",1),"")</f>
        <v/>
      </c>
      <c r="AA156" s="16" t="str" cm="1">
        <f t="array" ref="AA156">IFERROR(_xlfn.IFS(I156="Foul Received",1),"")</f>
        <v/>
      </c>
      <c r="AB156" s="49" t="str" cm="1">
        <f t="array" ref="AB156">IFERROR(_xlfn.IFS(I156="Starting lineup",C156,I156="Substitution - In",C156),"")</f>
        <v/>
      </c>
      <c r="AC156" s="46" t="str" cm="1">
        <f t="array" ref="AC156">IFERROR(_xlfn.IFS(I156="Finishing lineup",C156,I156="Substitution - Out",C156),"")</f>
        <v/>
      </c>
      <c r="AD156" s="46" t="str" cm="1">
        <f t="array" ref="AD156">IF(AC156&lt;&gt;"",LOOKUP(2,1/((G$2:G155=G156)*(AB$2:AB155&lt;&gt;"")),AB$2:AB155)-AC156,"")</f>
        <v/>
      </c>
      <c r="AE156" s="50" t="str" cm="1">
        <f t="array" ref="AE156">IF(AC156&lt;&gt;"",LOOKUP(2,1/((G$2:G155=G156)*(AB$2:AB155&lt;&gt;"")),AB$2:AB155)-AC156,"")</f>
        <v/>
      </c>
    </row>
    <row r="157" spans="1:31" hidden="1" x14ac:dyDescent="0.35">
      <c r="A157" s="16">
        <v>1</v>
      </c>
      <c r="B157" s="19">
        <v>156</v>
      </c>
      <c r="C157" s="46">
        <v>7.407407407407407E-4</v>
      </c>
      <c r="D157" s="16">
        <f t="shared" ref="D157" si="17">MINUTE(C157)</f>
        <v>1</v>
      </c>
      <c r="E157" s="16">
        <f t="shared" si="12"/>
        <v>4</v>
      </c>
      <c r="F157" s="19" t="s">
        <v>16</v>
      </c>
      <c r="G157" s="16" t="s">
        <v>39</v>
      </c>
      <c r="H157" s="16" t="str">
        <f>_xlfn.XLOOKUP(G157,'1-Players'!$A$2:$A$27,'1-Players'!$D$2:$D$27,"")</f>
        <v>Millán Jiménez</v>
      </c>
      <c r="I157" s="19" t="s">
        <v>61</v>
      </c>
      <c r="K157" s="16" t="str" cm="1">
        <f t="array" ref="K157">IFERROR(_xlfn.IFS(I157="Free Throw",1,I157="2-Point Shot",2,I157="Dunk",2,I157="3-Point Shot",3),"")</f>
        <v/>
      </c>
      <c r="L157" s="16" t="str" cm="1">
        <f t="array" ref="L157">IFERROR(_xlfn.IFS(J157="Made",1,J157="Missed",0),"")</f>
        <v/>
      </c>
      <c r="M157" s="16" t="str">
        <f t="shared" si="13"/>
        <v/>
      </c>
      <c r="R157" s="16" t="str">
        <f t="shared" si="14"/>
        <v/>
      </c>
      <c r="S157" s="16" t="str" cm="1">
        <f t="array" ref="S157">IFERROR(_xlfn.IFS(I157="Offensive Rebound",1),"")</f>
        <v/>
      </c>
      <c r="T157" s="16" t="str" cm="1">
        <f t="array" ref="T157">IFERROR(_xlfn.IFS(I157="Defensive Rebound",1),"")</f>
        <v/>
      </c>
      <c r="U157" s="16" cm="1">
        <f t="array" ref="U157">IFERROR(_xlfn.IFS(I157="Assist",1),"")</f>
        <v>1</v>
      </c>
      <c r="V157" s="16" t="str" cm="1">
        <f t="array" ref="V157">IFERROR(_xlfn.IFS(I157="Turnover",1),"")</f>
        <v/>
      </c>
      <c r="W157" s="16" t="str" cm="1">
        <f t="array" ref="W157">IFERROR(_xlfn.IFS(I157="Steal",1),"")</f>
        <v/>
      </c>
      <c r="X157" s="16" t="str" cm="1">
        <f t="array" ref="X157">IFERROR(_xlfn.IFS(I157="Block",1),"")</f>
        <v/>
      </c>
      <c r="Y157" s="16" t="str" cm="1">
        <f t="array" ref="Y157">IFERROR(_xlfn.IFS(I157="Block Received",1),"")</f>
        <v/>
      </c>
      <c r="Z157" s="16" t="str" cm="1">
        <f t="array" ref="Z157">IFERROR(_xlfn.IFS(I157="Foul",1,I157="Foul Technical",1,I157="Offensive Foul",1),"")</f>
        <v/>
      </c>
      <c r="AA157" s="16" t="str" cm="1">
        <f t="array" ref="AA157">IFERROR(_xlfn.IFS(I157="Foul Received",1),"")</f>
        <v/>
      </c>
      <c r="AB157" s="49" t="str" cm="1">
        <f t="array" ref="AB157">IFERROR(_xlfn.IFS(I157="Starting lineup",C157,I157="Substitution - In",C157),"")</f>
        <v/>
      </c>
      <c r="AC157" s="46" t="str" cm="1">
        <f t="array" ref="AC157">IFERROR(_xlfn.IFS(I157="Finishing lineup",C157,I157="Substitution - Out",C157),"")</f>
        <v/>
      </c>
      <c r="AD157" s="46" t="str" cm="1">
        <f t="array" ref="AD157">IF(AC157&lt;&gt;"",LOOKUP(2,1/((G$2:G156=G157)*(AB$2:AB156&lt;&gt;"")),AB$2:AB156)-AC157,"")</f>
        <v/>
      </c>
      <c r="AE157" s="50" t="str" cm="1">
        <f t="array" ref="AE157">IF(AC157&lt;&gt;"",LOOKUP(2,1/((G$2:G156=G157)*(AB$2:AB156&lt;&gt;"")),AB$2:AB156)-AC157,"")</f>
        <v/>
      </c>
    </row>
    <row r="158" spans="1:31" hidden="1" x14ac:dyDescent="0.35">
      <c r="A158" s="16">
        <v>1</v>
      </c>
      <c r="B158" s="19">
        <v>157</v>
      </c>
      <c r="C158" s="46">
        <v>5.3240740740740744E-4</v>
      </c>
      <c r="D158" s="16">
        <f t="shared" ref="D158" si="18">MINUTE(C158)</f>
        <v>0</v>
      </c>
      <c r="E158" s="16">
        <f t="shared" si="12"/>
        <v>46</v>
      </c>
      <c r="F158" s="19" t="s">
        <v>46</v>
      </c>
      <c r="G158" s="16" t="s">
        <v>69</v>
      </c>
      <c r="H158" s="16" t="str">
        <f>_xlfn.XLOOKUP(G158,'1-Players'!$A$2:$A$27,'1-Players'!$D$2:$D$27,"")</f>
        <v>Alfonso Plummer</v>
      </c>
      <c r="I158" s="19" t="s">
        <v>112</v>
      </c>
      <c r="J158" s="19" t="s">
        <v>113</v>
      </c>
      <c r="K158" s="16" t="str" cm="1">
        <f t="array" ref="K158">IFERROR(_xlfn.IFS(I158="Free Throw",1,I158="2-Point Shot",2,I158="Dunk",2,I158="3-Point Shot",3),"")</f>
        <v/>
      </c>
      <c r="L158" s="16" t="str" cm="1">
        <f t="array" ref="L158">IFERROR(_xlfn.IFS(J158="Made",1,J158="Missed",0),"")</f>
        <v/>
      </c>
      <c r="M158" s="16" t="str">
        <f t="shared" si="13"/>
        <v/>
      </c>
      <c r="R158" s="16" t="str">
        <f t="shared" si="14"/>
        <v/>
      </c>
      <c r="S158" s="16" t="str" cm="1">
        <f t="array" ref="S158">IFERROR(_xlfn.IFS(I158="Offensive Rebound",1),"")</f>
        <v/>
      </c>
      <c r="T158" s="16" t="str" cm="1">
        <f t="array" ref="T158">IFERROR(_xlfn.IFS(I158="Defensive Rebound",1),"")</f>
        <v/>
      </c>
      <c r="U158" s="16" t="str" cm="1">
        <f t="array" ref="U158">IFERROR(_xlfn.IFS(I158="Assist",1),"")</f>
        <v/>
      </c>
      <c r="V158" s="16" cm="1">
        <f t="array" ref="V158">IFERROR(_xlfn.IFS(I158="Turnover",1),"")</f>
        <v>1</v>
      </c>
      <c r="W158" s="16" t="str" cm="1">
        <f t="array" ref="W158">IFERROR(_xlfn.IFS(I158="Steal",1),"")</f>
        <v/>
      </c>
      <c r="X158" s="16" t="str" cm="1">
        <f t="array" ref="X158">IFERROR(_xlfn.IFS(I158="Block",1),"")</f>
        <v/>
      </c>
      <c r="Y158" s="16" t="str" cm="1">
        <f t="array" ref="Y158">IFERROR(_xlfn.IFS(I158="Block Received",1),"")</f>
        <v/>
      </c>
      <c r="Z158" s="16" t="str" cm="1">
        <f t="array" ref="Z158">IFERROR(_xlfn.IFS(I158="Foul",1,I158="Foul Technical",1,I158="Offensive Foul",1),"")</f>
        <v/>
      </c>
      <c r="AA158" s="16" t="str" cm="1">
        <f t="array" ref="AA158">IFERROR(_xlfn.IFS(I158="Foul Received",1),"")</f>
        <v/>
      </c>
      <c r="AB158" s="49" t="str" cm="1">
        <f t="array" ref="AB158">IFERROR(_xlfn.IFS(I158="Starting lineup",C158,I158="Substitution - In",C158),"")</f>
        <v/>
      </c>
      <c r="AC158" s="46" t="str" cm="1">
        <f t="array" ref="AC158">IFERROR(_xlfn.IFS(I158="Finishing lineup",C158,I158="Substitution - Out",C158),"")</f>
        <v/>
      </c>
      <c r="AD158" s="46" t="str" cm="1">
        <f t="array" ref="AD158">IF(AC158&lt;&gt;"",LOOKUP(2,1/((G$2:G157=G158)*(AB$2:AB157&lt;&gt;"")),AB$2:AB157)-AC158,"")</f>
        <v/>
      </c>
      <c r="AE158" s="50" t="str" cm="1">
        <f t="array" ref="AE158">IF(AC158&lt;&gt;"",LOOKUP(2,1/((G$2:G157=G158)*(AB$2:AB157&lt;&gt;"")),AB$2:AB157)-AC158,"")</f>
        <v/>
      </c>
    </row>
    <row r="159" spans="1:31" hidden="1" x14ac:dyDescent="0.35">
      <c r="A159" s="16">
        <v>1</v>
      </c>
      <c r="B159" s="19">
        <v>158</v>
      </c>
      <c r="C159" s="46">
        <v>5.3240740740740744E-4</v>
      </c>
      <c r="D159" s="16">
        <f t="shared" ref="D159" si="19">MINUTE(C159)</f>
        <v>0</v>
      </c>
      <c r="E159" s="16">
        <f t="shared" si="12"/>
        <v>46</v>
      </c>
      <c r="F159" s="19" t="s">
        <v>16</v>
      </c>
      <c r="G159" s="16" t="s">
        <v>43</v>
      </c>
      <c r="H159" s="16" t="str">
        <f>_xlfn.XLOOKUP(G159,'1-Players'!$A$2:$A$27,'1-Players'!$D$2:$D$27,"")</f>
        <v>Cameron Krutwig</v>
      </c>
      <c r="I159" s="19" t="s">
        <v>115</v>
      </c>
      <c r="K159" s="16" t="str" cm="1">
        <f t="array" ref="K159">IFERROR(_xlfn.IFS(I159="Free Throw",1,I159="2-Point Shot",2,I159="Dunk",2,I159="3-Point Shot",3),"")</f>
        <v/>
      </c>
      <c r="L159" s="16" t="str" cm="1">
        <f t="array" ref="L159">IFERROR(_xlfn.IFS(J159="Made",1,J159="Missed",0),"")</f>
        <v/>
      </c>
      <c r="M159" s="16" t="str">
        <f t="shared" si="13"/>
        <v/>
      </c>
      <c r="R159" s="16" t="str">
        <f t="shared" si="14"/>
        <v/>
      </c>
      <c r="S159" s="16" t="str" cm="1">
        <f t="array" ref="S159">IFERROR(_xlfn.IFS(I159="Offensive Rebound",1),"")</f>
        <v/>
      </c>
      <c r="T159" s="16" t="str" cm="1">
        <f t="array" ref="T159">IFERROR(_xlfn.IFS(I159="Defensive Rebound",1),"")</f>
        <v/>
      </c>
      <c r="U159" s="16" t="str" cm="1">
        <f t="array" ref="U159">IFERROR(_xlfn.IFS(I159="Assist",1),"")</f>
        <v/>
      </c>
      <c r="V159" s="16" t="str" cm="1">
        <f t="array" ref="V159">IFERROR(_xlfn.IFS(I159="Turnover",1),"")</f>
        <v/>
      </c>
      <c r="W159" s="16" cm="1">
        <f t="array" ref="W159">IFERROR(_xlfn.IFS(I159="Steal",1),"")</f>
        <v>1</v>
      </c>
      <c r="X159" s="16" t="str" cm="1">
        <f t="array" ref="X159">IFERROR(_xlfn.IFS(I159="Block",1),"")</f>
        <v/>
      </c>
      <c r="Y159" s="16" t="str" cm="1">
        <f t="array" ref="Y159">IFERROR(_xlfn.IFS(I159="Block Received",1),"")</f>
        <v/>
      </c>
      <c r="Z159" s="16" t="str" cm="1">
        <f t="array" ref="Z159">IFERROR(_xlfn.IFS(I159="Foul",1,I159="Foul Technical",1,I159="Offensive Foul",1),"")</f>
        <v/>
      </c>
      <c r="AA159" s="16" t="str" cm="1">
        <f t="array" ref="AA159">IFERROR(_xlfn.IFS(I159="Foul Received",1),"")</f>
        <v/>
      </c>
      <c r="AB159" s="49" t="str" cm="1">
        <f t="array" ref="AB159">IFERROR(_xlfn.IFS(I159="Starting lineup",C159,I159="Substitution - In",C159),"")</f>
        <v/>
      </c>
      <c r="AC159" s="46" t="str" cm="1">
        <f t="array" ref="AC159">IFERROR(_xlfn.IFS(I159="Finishing lineup",C159,I159="Substitution - Out",C159),"")</f>
        <v/>
      </c>
      <c r="AD159" s="46" t="str" cm="1">
        <f t="array" ref="AD159">IF(AC159&lt;&gt;"",LOOKUP(2,1/((G$2:G158=G159)*(AB$2:AB158&lt;&gt;"")),AB$2:AB158)-AC159,"")</f>
        <v/>
      </c>
      <c r="AE159" s="50" t="str" cm="1">
        <f t="array" ref="AE159">IF(AC159&lt;&gt;"",LOOKUP(2,1/((G$2:G158=G159)*(AB$2:AB158&lt;&gt;"")),AB$2:AB158)-AC159,"")</f>
        <v/>
      </c>
    </row>
    <row r="160" spans="1:31" hidden="1" x14ac:dyDescent="0.35">
      <c r="A160" s="16">
        <v>1</v>
      </c>
      <c r="B160" s="19">
        <v>159</v>
      </c>
      <c r="C160" s="46">
        <v>3.8194444444444446E-4</v>
      </c>
      <c r="D160" s="16">
        <f t="shared" ref="D160" si="20">MINUTE(C160)</f>
        <v>0</v>
      </c>
      <c r="E160" s="16">
        <f t="shared" si="12"/>
        <v>33</v>
      </c>
      <c r="F160" s="19" t="s">
        <v>16</v>
      </c>
      <c r="G160" s="16" t="s">
        <v>18</v>
      </c>
      <c r="H160" s="16" t="str">
        <f>_xlfn.XLOOKUP(G160,'1-Players'!$A$2:$A$27,'1-Players'!$D$2:$D$27,"")</f>
        <v>Corey Walden</v>
      </c>
      <c r="I160" s="19" t="s">
        <v>82</v>
      </c>
      <c r="J160" s="19" t="s">
        <v>60</v>
      </c>
      <c r="K160" s="16" cm="1">
        <f t="array" ref="K160">IFERROR(_xlfn.IFS(I160="Free Throw",1,I160="2-Point Shot",2,I160="Dunk",2,I160="3-Point Shot",3),"")</f>
        <v>2</v>
      </c>
      <c r="L160" s="16" cm="1">
        <f t="array" ref="L160">IFERROR(_xlfn.IFS(J160="Made",1,J160="Missed",0),"")</f>
        <v>1</v>
      </c>
      <c r="M160" s="16">
        <f t="shared" si="13"/>
        <v>2</v>
      </c>
      <c r="N160" s="16" t="s">
        <v>174</v>
      </c>
      <c r="O160" s="16" t="s">
        <v>189</v>
      </c>
      <c r="P160" s="16">
        <v>13</v>
      </c>
      <c r="Q160" s="16" t="s">
        <v>102</v>
      </c>
      <c r="R160" s="16" t="str">
        <f t="shared" si="14"/>
        <v>N</v>
      </c>
      <c r="S160" s="16" t="str" cm="1">
        <f t="array" ref="S160">IFERROR(_xlfn.IFS(I160="Offensive Rebound",1),"")</f>
        <v/>
      </c>
      <c r="T160" s="16" t="str" cm="1">
        <f t="array" ref="T160">IFERROR(_xlfn.IFS(I160="Defensive Rebound",1),"")</f>
        <v/>
      </c>
      <c r="U160" s="16" t="str" cm="1">
        <f t="array" ref="U160">IFERROR(_xlfn.IFS(I160="Assist",1),"")</f>
        <v/>
      </c>
      <c r="V160" s="16" t="str" cm="1">
        <f t="array" ref="V160">IFERROR(_xlfn.IFS(I160="Turnover",1),"")</f>
        <v/>
      </c>
      <c r="W160" s="16" t="str" cm="1">
        <f t="array" ref="W160">IFERROR(_xlfn.IFS(I160="Steal",1),"")</f>
        <v/>
      </c>
      <c r="X160" s="16" t="str" cm="1">
        <f t="array" ref="X160">IFERROR(_xlfn.IFS(I160="Block",1),"")</f>
        <v/>
      </c>
      <c r="Y160" s="16" t="str" cm="1">
        <f t="array" ref="Y160">IFERROR(_xlfn.IFS(I160="Block Received",1),"")</f>
        <v/>
      </c>
      <c r="Z160" s="16" t="str" cm="1">
        <f t="array" ref="Z160">IFERROR(_xlfn.IFS(I160="Foul",1,I160="Foul Technical",1,I160="Offensive Foul",1),"")</f>
        <v/>
      </c>
      <c r="AA160" s="16" t="str" cm="1">
        <f t="array" ref="AA160">IFERROR(_xlfn.IFS(I160="Foul Received",1),"")</f>
        <v/>
      </c>
      <c r="AB160" s="49" t="str" cm="1">
        <f t="array" ref="AB160">IFERROR(_xlfn.IFS(I160="Starting lineup",C160,I160="Substitution - In",C160),"")</f>
        <v/>
      </c>
      <c r="AC160" s="46" t="str" cm="1">
        <f t="array" ref="AC160">IFERROR(_xlfn.IFS(I160="Finishing lineup",C160,I160="Substitution - Out",C160),"")</f>
        <v/>
      </c>
      <c r="AD160" s="46" t="str" cm="1">
        <f t="array" ref="AD160">IF(AC160&lt;&gt;"",LOOKUP(2,1/((G$2:G159=G160)*(AB$2:AB159&lt;&gt;"")),AB$2:AB159)-AC160,"")</f>
        <v/>
      </c>
      <c r="AE160" s="50" t="str" cm="1">
        <f t="array" ref="AE160">IF(AC160&lt;&gt;"",LOOKUP(2,1/((G$2:G159=G160)*(AB$2:AB159&lt;&gt;"")),AB$2:AB159)-AC160,"")</f>
        <v/>
      </c>
    </row>
    <row r="161" spans="1:31" hidden="1" x14ac:dyDescent="0.35">
      <c r="A161" s="16">
        <v>1</v>
      </c>
      <c r="B161" s="19">
        <v>160</v>
      </c>
      <c r="C161" s="46">
        <v>1.0416666666666667E-4</v>
      </c>
      <c r="D161" s="16">
        <f t="shared" ref="D161" si="21">MINUTE(C161)</f>
        <v>0</v>
      </c>
      <c r="E161" s="16">
        <f t="shared" si="12"/>
        <v>9</v>
      </c>
      <c r="F161" s="19" t="s">
        <v>46</v>
      </c>
      <c r="G161" s="16" t="s">
        <v>68</v>
      </c>
      <c r="H161" s="16" t="str">
        <f>_xlfn.XLOOKUP(G161,'1-Players'!$A$2:$A$27,'1-Players'!$D$2:$D$27,"")</f>
        <v>Dani Pérez</v>
      </c>
      <c r="I161" s="19" t="s">
        <v>83</v>
      </c>
      <c r="J161" s="19" t="s">
        <v>60</v>
      </c>
      <c r="K161" s="16" cm="1">
        <f t="array" ref="K161">IFERROR(_xlfn.IFS(I161="Free Throw",1,I161="2-Point Shot",2,I161="Dunk",2,I161="3-Point Shot",3),"")</f>
        <v>3</v>
      </c>
      <c r="L161" s="16" cm="1">
        <f t="array" ref="L161">IFERROR(_xlfn.IFS(J161="Made",1,J161="Missed",0),"")</f>
        <v>1</v>
      </c>
      <c r="M161" s="16">
        <f t="shared" si="13"/>
        <v>3</v>
      </c>
      <c r="N161" s="16" t="s">
        <v>174</v>
      </c>
      <c r="O161" s="16" t="s">
        <v>190</v>
      </c>
      <c r="P161" s="16">
        <v>3</v>
      </c>
      <c r="Q161" s="16" t="s">
        <v>125</v>
      </c>
      <c r="R161" s="16" t="str">
        <f t="shared" si="14"/>
        <v>N</v>
      </c>
      <c r="S161" s="16" t="str" cm="1">
        <f t="array" ref="S161">IFERROR(_xlfn.IFS(I161="Offensive Rebound",1),"")</f>
        <v/>
      </c>
      <c r="T161" s="16" t="str" cm="1">
        <f t="array" ref="T161">IFERROR(_xlfn.IFS(I161="Defensive Rebound",1),"")</f>
        <v/>
      </c>
      <c r="U161" s="16" t="str" cm="1">
        <f t="array" ref="U161">IFERROR(_xlfn.IFS(I161="Assist",1),"")</f>
        <v/>
      </c>
      <c r="V161" s="16" t="str" cm="1">
        <f t="array" ref="V161">IFERROR(_xlfn.IFS(I161="Turnover",1),"")</f>
        <v/>
      </c>
      <c r="W161" s="16" t="str" cm="1">
        <f t="array" ref="W161">IFERROR(_xlfn.IFS(I161="Steal",1),"")</f>
        <v/>
      </c>
      <c r="X161" s="16" t="str" cm="1">
        <f t="array" ref="X161">IFERROR(_xlfn.IFS(I161="Block",1),"")</f>
        <v/>
      </c>
      <c r="Y161" s="16" t="str" cm="1">
        <f t="array" ref="Y161">IFERROR(_xlfn.IFS(I161="Block Received",1),"")</f>
        <v/>
      </c>
      <c r="Z161" s="16" t="str" cm="1">
        <f t="array" ref="Z161">IFERROR(_xlfn.IFS(I161="Foul",1,I161="Foul Technical",1,I161="Offensive Foul",1),"")</f>
        <v/>
      </c>
      <c r="AA161" s="16" t="str" cm="1">
        <f t="array" ref="AA161">IFERROR(_xlfn.IFS(I161="Foul Received",1),"")</f>
        <v/>
      </c>
      <c r="AB161" s="49" t="str" cm="1">
        <f t="array" ref="AB161">IFERROR(_xlfn.IFS(I161="Starting lineup",C161,I161="Substitution - In",C161),"")</f>
        <v/>
      </c>
      <c r="AC161" s="46" t="str" cm="1">
        <f t="array" ref="AC161">IFERROR(_xlfn.IFS(I161="Finishing lineup",C161,I161="Substitution - Out",C161),"")</f>
        <v/>
      </c>
      <c r="AD161" s="46" t="str" cm="1">
        <f t="array" ref="AD161">IF(AC161&lt;&gt;"",LOOKUP(2,1/((G$2:G160=G161)*(AB$2:AB160&lt;&gt;"")),AB$2:AB160)-AC161,"")</f>
        <v/>
      </c>
      <c r="AE161" s="50" t="str" cm="1">
        <f t="array" ref="AE161">IF(AC161&lt;&gt;"",LOOKUP(2,1/((G$2:G160=G161)*(AB$2:AB160&lt;&gt;"")),AB$2:AB160)-AC161,"")</f>
        <v/>
      </c>
    </row>
    <row r="162" spans="1:31" hidden="1" x14ac:dyDescent="0.35">
      <c r="A162" s="16">
        <v>1</v>
      </c>
      <c r="B162" s="19">
        <v>161</v>
      </c>
      <c r="C162" s="46">
        <v>1.1574074074074073E-5</v>
      </c>
      <c r="D162" s="16">
        <f t="shared" ref="D162" si="22">MINUTE(C162)</f>
        <v>0</v>
      </c>
      <c r="E162" s="16">
        <f t="shared" si="12"/>
        <v>1</v>
      </c>
      <c r="F162" s="19" t="s">
        <v>16</v>
      </c>
      <c r="G162" s="16" t="s">
        <v>22</v>
      </c>
      <c r="H162" s="16" t="str">
        <f>_xlfn.XLOOKUP(G162,'1-Players'!$A$2:$A$27,'1-Players'!$D$2:$D$27,"")</f>
        <v>Oriol Paulí</v>
      </c>
      <c r="I162" s="19" t="s">
        <v>82</v>
      </c>
      <c r="J162" s="19" t="s">
        <v>63</v>
      </c>
      <c r="K162" s="16" cm="1">
        <f t="array" ref="K162">IFERROR(_xlfn.IFS(I162="Free Throw",1,I162="2-Point Shot",2,I162="Dunk",2,I162="3-Point Shot",3),"")</f>
        <v>2</v>
      </c>
      <c r="L162" s="16" cm="1">
        <f t="array" ref="L162">IFERROR(_xlfn.IFS(J162="Made",1,J162="Missed",0),"")</f>
        <v>0</v>
      </c>
      <c r="M162" s="16">
        <f t="shared" si="13"/>
        <v>0</v>
      </c>
      <c r="N162" s="16" t="s">
        <v>177</v>
      </c>
      <c r="O162" s="16" t="s">
        <v>188</v>
      </c>
      <c r="P162" s="16">
        <v>1</v>
      </c>
      <c r="R162" s="16" t="str">
        <f t="shared" si="14"/>
        <v/>
      </c>
      <c r="S162" s="16" t="str" cm="1">
        <f t="array" ref="S162">IFERROR(_xlfn.IFS(I162="Offensive Rebound",1),"")</f>
        <v/>
      </c>
      <c r="T162" s="16" t="str" cm="1">
        <f t="array" ref="T162">IFERROR(_xlfn.IFS(I162="Defensive Rebound",1),"")</f>
        <v/>
      </c>
      <c r="U162" s="16" t="str" cm="1">
        <f t="array" ref="U162">IFERROR(_xlfn.IFS(I162="Assist",1),"")</f>
        <v/>
      </c>
      <c r="V162" s="16" t="str" cm="1">
        <f t="array" ref="V162">IFERROR(_xlfn.IFS(I162="Turnover",1),"")</f>
        <v/>
      </c>
      <c r="W162" s="16" t="str" cm="1">
        <f t="array" ref="W162">IFERROR(_xlfn.IFS(I162="Steal",1),"")</f>
        <v/>
      </c>
      <c r="X162" s="16" t="str" cm="1">
        <f t="array" ref="X162">IFERROR(_xlfn.IFS(I162="Block",1),"")</f>
        <v/>
      </c>
      <c r="Y162" s="16" t="str" cm="1">
        <f t="array" ref="Y162">IFERROR(_xlfn.IFS(I162="Block Received",1),"")</f>
        <v/>
      </c>
      <c r="Z162" s="16" t="str" cm="1">
        <f t="array" ref="Z162">IFERROR(_xlfn.IFS(I162="Foul",1,I162="Foul Technical",1,I162="Offensive Foul",1),"")</f>
        <v/>
      </c>
      <c r="AA162" s="16" t="str" cm="1">
        <f t="array" ref="AA162">IFERROR(_xlfn.IFS(I162="Foul Received",1),"")</f>
        <v/>
      </c>
      <c r="AB162" s="49" t="str" cm="1">
        <f t="array" ref="AB162">IFERROR(_xlfn.IFS(I162="Starting lineup",C162,I162="Substitution - In",C162),"")</f>
        <v/>
      </c>
      <c r="AC162" s="46" t="str" cm="1">
        <f t="array" ref="AC162">IFERROR(_xlfn.IFS(I162="Finishing lineup",C162,I162="Substitution - Out",C162),"")</f>
        <v/>
      </c>
      <c r="AD162" s="46" t="str" cm="1">
        <f t="array" ref="AD162">IF(AC162&lt;&gt;"",LOOKUP(2,1/((G$2:G161=G162)*(AB$2:AB161&lt;&gt;"")),AB$2:AB161)-AC162,"")</f>
        <v/>
      </c>
      <c r="AE162" s="50" t="str" cm="1">
        <f t="array" ref="AE162">IF(AC162&lt;&gt;"",LOOKUP(2,1/((G$2:G161=G162)*(AB$2:AB161&lt;&gt;"")),AB$2:AB161)-AC162,"")</f>
        <v/>
      </c>
    </row>
    <row r="163" spans="1:31" hidden="1" x14ac:dyDescent="0.35">
      <c r="A163" s="16">
        <v>1</v>
      </c>
      <c r="B163" s="19">
        <v>162</v>
      </c>
      <c r="C163" s="46">
        <v>1.1574074074074073E-5</v>
      </c>
      <c r="D163" s="16">
        <f t="shared" ref="D163" si="23">MINUTE(C163)</f>
        <v>0</v>
      </c>
      <c r="E163" s="16">
        <f t="shared" si="12"/>
        <v>1</v>
      </c>
      <c r="F163" s="19" t="s">
        <v>16</v>
      </c>
      <c r="G163" s="16" t="s">
        <v>39</v>
      </c>
      <c r="H163" s="16" t="str">
        <f>_xlfn.XLOOKUP(G163,'1-Players'!$A$2:$A$27,'1-Players'!$D$2:$D$27,"")</f>
        <v>Millán Jiménez</v>
      </c>
      <c r="I163" s="19" t="s">
        <v>109</v>
      </c>
      <c r="K163" s="16" t="str" cm="1">
        <f t="array" ref="K163">IFERROR(_xlfn.IFS(I163="Free Throw",1,I163="2-Point Shot",2,I163="Dunk",2,I163="3-Point Shot",3),"")</f>
        <v/>
      </c>
      <c r="L163" s="16" t="str" cm="1">
        <f t="array" ref="L163">IFERROR(_xlfn.IFS(J163="Made",1,J163="Missed",0),"")</f>
        <v/>
      </c>
      <c r="M163" s="16" t="str">
        <f t="shared" si="13"/>
        <v/>
      </c>
      <c r="R163" s="16" t="str">
        <f t="shared" si="14"/>
        <v/>
      </c>
      <c r="S163" s="16" cm="1">
        <f t="array" ref="S163">IFERROR(_xlfn.IFS(I163="Offensive Rebound",1),"")</f>
        <v>1</v>
      </c>
      <c r="T163" s="16" t="str" cm="1">
        <f t="array" ref="T163">IFERROR(_xlfn.IFS(I163="Defensive Rebound",1),"")</f>
        <v/>
      </c>
      <c r="U163" s="16" t="str" cm="1">
        <f t="array" ref="U163">IFERROR(_xlfn.IFS(I163="Assist",1),"")</f>
        <v/>
      </c>
      <c r="V163" s="16" t="str" cm="1">
        <f t="array" ref="V163">IFERROR(_xlfn.IFS(I163="Turnover",1),"")</f>
        <v/>
      </c>
      <c r="W163" s="16" t="str" cm="1">
        <f t="array" ref="W163">IFERROR(_xlfn.IFS(I163="Steal",1),"")</f>
        <v/>
      </c>
      <c r="X163" s="16" t="str" cm="1">
        <f t="array" ref="X163">IFERROR(_xlfn.IFS(I163="Block",1),"")</f>
        <v/>
      </c>
      <c r="Y163" s="16" t="str" cm="1">
        <f t="array" ref="Y163">IFERROR(_xlfn.IFS(I163="Block Received",1),"")</f>
        <v/>
      </c>
      <c r="Z163" s="16" t="str" cm="1">
        <f t="array" ref="Z163">IFERROR(_xlfn.IFS(I163="Foul",1,I163="Foul Technical",1,I163="Offensive Foul",1),"")</f>
        <v/>
      </c>
      <c r="AA163" s="16" t="str" cm="1">
        <f t="array" ref="AA163">IFERROR(_xlfn.IFS(I163="Foul Received",1),"")</f>
        <v/>
      </c>
      <c r="AB163" s="49" t="str" cm="1">
        <f t="array" ref="AB163">IFERROR(_xlfn.IFS(I163="Starting lineup",C163,I163="Substitution - In",C163),"")</f>
        <v/>
      </c>
      <c r="AC163" s="46" t="str" cm="1">
        <f t="array" ref="AC163">IFERROR(_xlfn.IFS(I163="Finishing lineup",C163,I163="Substitution - Out",C163),"")</f>
        <v/>
      </c>
      <c r="AD163" s="46" t="str" cm="1">
        <f t="array" ref="AD163">IF(AC163&lt;&gt;"",LOOKUP(2,1/((G$2:G162=G163)*(AB$2:AB162&lt;&gt;"")),AB$2:AB162)-AC163,"")</f>
        <v/>
      </c>
      <c r="AE163" s="50" t="str" cm="1">
        <f t="array" ref="AE163">IF(AC163&lt;&gt;"",LOOKUP(2,1/((G$2:G162=G163)*(AB$2:AB162&lt;&gt;"")),AB$2:AB162)-AC163,"")</f>
        <v/>
      </c>
    </row>
    <row r="164" spans="1:31" hidden="1" x14ac:dyDescent="0.35">
      <c r="A164" s="16">
        <v>1</v>
      </c>
      <c r="B164" s="19">
        <v>163</v>
      </c>
      <c r="C164" s="46">
        <v>0</v>
      </c>
      <c r="D164" s="16">
        <f t="shared" ref="D164:D177" si="24">MINUTE(C164)</f>
        <v>0</v>
      </c>
      <c r="E164" s="16">
        <f t="shared" si="12"/>
        <v>0</v>
      </c>
      <c r="F164" s="19" t="s">
        <v>16</v>
      </c>
      <c r="G164" s="16" t="s">
        <v>39</v>
      </c>
      <c r="H164" s="16" t="str">
        <f>_xlfn.XLOOKUP(G164,'1-Players'!$A$2:$A$27,'1-Players'!$D$2:$D$27,"")</f>
        <v>Millán Jiménez</v>
      </c>
      <c r="I164" s="19" t="s">
        <v>82</v>
      </c>
      <c r="J164" s="19" t="s">
        <v>60</v>
      </c>
      <c r="K164" s="16" cm="1">
        <f t="array" ref="K164">IFERROR(_xlfn.IFS(I164="Free Throw",1,I164="2-Point Shot",2,I164="Dunk",2,I164="3-Point Shot",3),"")</f>
        <v>2</v>
      </c>
      <c r="L164" s="16" cm="1">
        <f t="array" ref="L164">IFERROR(_xlfn.IFS(J164="Made",1,J164="Missed",0),"")</f>
        <v>1</v>
      </c>
      <c r="M164" s="16">
        <f t="shared" si="13"/>
        <v>2</v>
      </c>
      <c r="N164" s="16" t="s">
        <v>192</v>
      </c>
      <c r="O164" s="16" t="s">
        <v>178</v>
      </c>
      <c r="P164" s="16">
        <v>0</v>
      </c>
      <c r="R164" s="16" t="str">
        <f t="shared" si="14"/>
        <v>N</v>
      </c>
      <c r="S164" s="16" t="str" cm="1">
        <f t="array" ref="S164">IFERROR(_xlfn.IFS(I164="Offensive Rebound",1),"")</f>
        <v/>
      </c>
      <c r="T164" s="16" t="str" cm="1">
        <f t="array" ref="T164">IFERROR(_xlfn.IFS(I164="Defensive Rebound",1),"")</f>
        <v/>
      </c>
      <c r="U164" s="16" t="str" cm="1">
        <f t="array" ref="U164">IFERROR(_xlfn.IFS(I164="Assist",1),"")</f>
        <v/>
      </c>
      <c r="V164" s="16" t="str" cm="1">
        <f t="array" ref="V164">IFERROR(_xlfn.IFS(I164="Turnover",1),"")</f>
        <v/>
      </c>
      <c r="W164" s="16" t="str" cm="1">
        <f t="array" ref="W164">IFERROR(_xlfn.IFS(I164="Steal",1),"")</f>
        <v/>
      </c>
      <c r="X164" s="16" t="str" cm="1">
        <f t="array" ref="X164">IFERROR(_xlfn.IFS(I164="Block",1),"")</f>
        <v/>
      </c>
      <c r="Y164" s="16" t="str" cm="1">
        <f t="array" ref="Y164">IFERROR(_xlfn.IFS(I164="Block Received",1),"")</f>
        <v/>
      </c>
      <c r="Z164" s="16" t="str" cm="1">
        <f t="array" ref="Z164">IFERROR(_xlfn.IFS(I164="Foul",1,I164="Foul Technical",1,I164="Offensive Foul",1),"")</f>
        <v/>
      </c>
      <c r="AA164" s="16" t="str" cm="1">
        <f t="array" ref="AA164">IFERROR(_xlfn.IFS(I164="Foul Received",1),"")</f>
        <v/>
      </c>
      <c r="AB164" s="49" t="str" cm="1">
        <f t="array" ref="AB164">IFERROR(_xlfn.IFS(I164="Starting lineup",C164,I164="Substitution - In",C164),"")</f>
        <v/>
      </c>
      <c r="AC164" s="46" t="str" cm="1">
        <f t="array" ref="AC164">IFERROR(_xlfn.IFS(I164="Finishing lineup",C164,I164="Substitution - Out",C164),"")</f>
        <v/>
      </c>
      <c r="AD164" s="46" t="str" cm="1">
        <f t="array" ref="AD164">IF(AC164&lt;&gt;"",LOOKUP(2,1/((G$2:G163=G164)*(AB$2:AB163&lt;&gt;"")),AB$2:AB163)-AC164,"")</f>
        <v/>
      </c>
      <c r="AE164" s="50" t="str" cm="1">
        <f t="array" ref="AE164">IF(AC164&lt;&gt;"",LOOKUP(2,1/((G$2:G163=G164)*(AB$2:AB163&lt;&gt;"")),AB$2:AB163)-AC164,"")</f>
        <v/>
      </c>
    </row>
    <row r="165" spans="1:31" hidden="1" x14ac:dyDescent="0.35">
      <c r="B165" s="19"/>
      <c r="H165" s="16" t="str">
        <f>_xlfn.XLOOKUP(G165,'1-Players'!$A$2:$A$27,'1-Players'!$D$2:$D$27,"")</f>
        <v/>
      </c>
      <c r="K165" s="16" t="str" cm="1">
        <f t="array" ref="K165">IFERROR(_xlfn.IFS(I165="Free Throw",1,I165="2-Point Shot",2,I165="Dunk",2,I165="3-Point Shot",3),"")</f>
        <v/>
      </c>
      <c r="L165" s="16" t="str" cm="1">
        <f t="array" ref="L165">IFERROR(_xlfn.IFS(J165="Made",1,J165="Missed",0),"")</f>
        <v/>
      </c>
      <c r="M165" s="16" t="str">
        <f t="shared" si="13"/>
        <v/>
      </c>
      <c r="R165" s="16" t="str">
        <f t="shared" si="14"/>
        <v/>
      </c>
      <c r="S165" s="16" t="str" cm="1">
        <f t="array" ref="S165">IFERROR(_xlfn.IFS(I165="Offensive Rebound",1),"")</f>
        <v/>
      </c>
      <c r="T165" s="16" t="str" cm="1">
        <f t="array" ref="T165">IFERROR(_xlfn.IFS(I165="Defensive Rebound",1),"")</f>
        <v/>
      </c>
      <c r="U165" s="16" t="str" cm="1">
        <f t="array" ref="U165">IFERROR(_xlfn.IFS(I165="Assist",1),"")</f>
        <v/>
      </c>
      <c r="V165" s="16" t="str" cm="1">
        <f t="array" ref="V165">IFERROR(_xlfn.IFS(I165="Turnover",1),"")</f>
        <v/>
      </c>
      <c r="W165" s="16" t="str" cm="1">
        <f t="array" ref="W165">IFERROR(_xlfn.IFS(I165="Steal",1),"")</f>
        <v/>
      </c>
      <c r="X165" s="16" t="str" cm="1">
        <f t="array" ref="X165">IFERROR(_xlfn.IFS(I165="Block",1),"")</f>
        <v/>
      </c>
      <c r="Y165" s="16" t="str" cm="1">
        <f t="array" ref="Y165">IFERROR(_xlfn.IFS(I165="Block Received",1),"")</f>
        <v/>
      </c>
      <c r="Z165" s="16" t="str" cm="1">
        <f t="array" ref="Z165">IFERROR(_xlfn.IFS(I165="Foul",1,I165="Foul Technical",1,I165="Offensive Foul",1),"")</f>
        <v/>
      </c>
      <c r="AA165" s="16" t="str" cm="1">
        <f t="array" ref="AA165">IFERROR(_xlfn.IFS(I165="Foul Received",1),"")</f>
        <v/>
      </c>
      <c r="AB165" s="49" t="str" cm="1">
        <f t="array" ref="AB165">IFERROR(_xlfn.IFS(I165="Starting lineup",C165,I165="Substitution - In",C165),"")</f>
        <v/>
      </c>
      <c r="AC165" s="46" t="str" cm="1">
        <f t="array" ref="AC165">IFERROR(_xlfn.IFS(I165="Finishing lineup",C165,I165="Substitution - Out",C165),"")</f>
        <v/>
      </c>
      <c r="AE165" s="50" t="str" cm="1">
        <f t="array" ref="AE165">IF(AC165&lt;&gt;"",LOOKUP(2,1/((G$2:G164=G165)*(AB$2:AB164&lt;&gt;"")),AB$2:AB164)-AC165,"")</f>
        <v/>
      </c>
    </row>
    <row r="166" spans="1:31" hidden="1" x14ac:dyDescent="0.35">
      <c r="A166" s="15" t="s">
        <v>166</v>
      </c>
      <c r="B166" s="15"/>
      <c r="H166" s="16" t="str">
        <f>_xlfn.XLOOKUP(G166,'1-Players'!$A$2:$A$27,'1-Players'!$D$2:$D$27,"")</f>
        <v/>
      </c>
      <c r="K166" s="16" t="str" cm="1">
        <f t="array" ref="K166">IFERROR(_xlfn.IFS(I166="Free Throw",1,I166="2-Point Shot",2,I166="Dunk",2,I166="3-Point Shot",3),"")</f>
        <v/>
      </c>
      <c r="L166" s="16" t="str" cm="1">
        <f t="array" ref="L166">IFERROR(_xlfn.IFS(J166="Made",1,J166="Missed",0),"")</f>
        <v/>
      </c>
      <c r="M166" s="16" t="str">
        <f t="shared" si="13"/>
        <v/>
      </c>
      <c r="R166" s="16" t="str">
        <f t="shared" si="14"/>
        <v/>
      </c>
      <c r="S166" s="16" t="str" cm="1">
        <f t="array" ref="S166">IFERROR(_xlfn.IFS(I166="Offensive Rebound",1),"")</f>
        <v/>
      </c>
      <c r="T166" s="16" t="str" cm="1">
        <f t="array" ref="T166">IFERROR(_xlfn.IFS(I166="Defensive Rebound",1),"")</f>
        <v/>
      </c>
      <c r="U166" s="16" t="str" cm="1">
        <f t="array" ref="U166">IFERROR(_xlfn.IFS(I166="Assist",1),"")</f>
        <v/>
      </c>
      <c r="V166" s="16" t="str" cm="1">
        <f t="array" ref="V166">IFERROR(_xlfn.IFS(I166="Turnover",1),"")</f>
        <v/>
      </c>
      <c r="W166" s="16" t="str" cm="1">
        <f t="array" ref="W166">IFERROR(_xlfn.IFS(I166="Steal",1),"")</f>
        <v/>
      </c>
      <c r="X166" s="16" t="str" cm="1">
        <f t="array" ref="X166">IFERROR(_xlfn.IFS(I166="Block",1),"")</f>
        <v/>
      </c>
      <c r="Y166" s="16" t="str" cm="1">
        <f t="array" ref="Y166">IFERROR(_xlfn.IFS(I166="Block Received",1),"")</f>
        <v/>
      </c>
      <c r="Z166" s="16" t="str" cm="1">
        <f t="array" ref="Z166">IFERROR(_xlfn.IFS(I166="Foul",1,I166="Foul Technical",1,I166="Offensive Foul",1),"")</f>
        <v/>
      </c>
      <c r="AA166" s="16" t="str" cm="1">
        <f t="array" ref="AA166">IFERROR(_xlfn.IFS(I166="Foul Received",1),"")</f>
        <v/>
      </c>
      <c r="AB166" s="49" t="str" cm="1">
        <f t="array" ref="AB166">IFERROR(_xlfn.IFS(I166="Starting lineup",C166,I166="Substitution - In",C166),"")</f>
        <v/>
      </c>
      <c r="AC166" s="46" t="str" cm="1">
        <f t="array" ref="AC166">IFERROR(_xlfn.IFS(I166="Finishing lineup",C166,I166="Substitution - Out",C166),"")</f>
        <v/>
      </c>
      <c r="AE166" s="50" t="str" cm="1">
        <f t="array" ref="AE166">IF(AC166&lt;&gt;"",LOOKUP(2,1/((G$2:G165=G166)*(AB$2:AB165&lt;&gt;"")),AB$2:AB165)-AC166,"")</f>
        <v/>
      </c>
    </row>
    <row r="167" spans="1:31" hidden="1" x14ac:dyDescent="0.35">
      <c r="B167" s="19"/>
      <c r="H167" s="16" t="str">
        <f>_xlfn.XLOOKUP(G167,'1-Players'!$A$2:$A$27,'1-Players'!$D$2:$D$27,"")</f>
        <v/>
      </c>
      <c r="K167" s="16" t="str" cm="1">
        <f t="array" ref="K167">IFERROR(_xlfn.IFS(I167="Free Throw",1,I167="2-Point Shot",2,I167="Dunk",2,I167="3-Point Shot",3),"")</f>
        <v/>
      </c>
      <c r="L167" s="16" t="str" cm="1">
        <f t="array" ref="L167">IFERROR(_xlfn.IFS(J167="Made",1,J167="Missed",0),"")</f>
        <v/>
      </c>
      <c r="M167" s="16" t="str">
        <f t="shared" si="13"/>
        <v/>
      </c>
      <c r="R167" s="16" t="str">
        <f t="shared" si="14"/>
        <v/>
      </c>
      <c r="S167" s="16" t="str" cm="1">
        <f t="array" ref="S167">IFERROR(_xlfn.IFS(I167="Offensive Rebound",1),"")</f>
        <v/>
      </c>
      <c r="T167" s="16" t="str" cm="1">
        <f t="array" ref="T167">IFERROR(_xlfn.IFS(I167="Defensive Rebound",1),"")</f>
        <v/>
      </c>
      <c r="U167" s="16" t="str" cm="1">
        <f t="array" ref="U167">IFERROR(_xlfn.IFS(I167="Assist",1),"")</f>
        <v/>
      </c>
      <c r="V167" s="16" t="str" cm="1">
        <f t="array" ref="V167">IFERROR(_xlfn.IFS(I167="Turnover",1),"")</f>
        <v/>
      </c>
      <c r="W167" s="16" t="str" cm="1">
        <f t="array" ref="W167">IFERROR(_xlfn.IFS(I167="Steal",1),"")</f>
        <v/>
      </c>
      <c r="X167" s="16" t="str" cm="1">
        <f t="array" ref="X167">IFERROR(_xlfn.IFS(I167="Block",1),"")</f>
        <v/>
      </c>
      <c r="Y167" s="16" t="str" cm="1">
        <f t="array" ref="Y167">IFERROR(_xlfn.IFS(I167="Block Received",1),"")</f>
        <v/>
      </c>
      <c r="Z167" s="16" t="str" cm="1">
        <f t="array" ref="Z167">IFERROR(_xlfn.IFS(I167="Foul",1,I167="Foul Technical",1,I167="Offensive Foul",1),"")</f>
        <v/>
      </c>
      <c r="AA167" s="16" t="str" cm="1">
        <f t="array" ref="AA167">IFERROR(_xlfn.IFS(I167="Foul Received",1),"")</f>
        <v/>
      </c>
      <c r="AB167" s="49" t="str" cm="1">
        <f t="array" ref="AB167">IFERROR(_xlfn.IFS(I167="Starting lineup",C167,I167="Substitution - In",C167),"")</f>
        <v/>
      </c>
      <c r="AC167" s="46" t="str" cm="1">
        <f t="array" ref="AC167">IFERROR(_xlfn.IFS(I167="Finishing lineup",C167,I167="Substitution - Out",C167),"")</f>
        <v/>
      </c>
      <c r="AE167" s="50" t="str" cm="1">
        <f t="array" ref="AE167">IF(AC167&lt;&gt;"",LOOKUP(2,1/((G$2:G166=G167)*(AB$2:AB166&lt;&gt;"")),AB$2:AB166)-AC167,"")</f>
        <v/>
      </c>
    </row>
    <row r="168" spans="1:31" hidden="1" x14ac:dyDescent="0.35">
      <c r="A168" s="16">
        <v>1</v>
      </c>
      <c r="B168" s="19">
        <v>164</v>
      </c>
      <c r="C168" s="46">
        <v>0</v>
      </c>
      <c r="D168" s="16">
        <f t="shared" si="24"/>
        <v>0</v>
      </c>
      <c r="E168" s="16">
        <f t="shared" si="12"/>
        <v>0</v>
      </c>
      <c r="F168" s="19" t="s">
        <v>16</v>
      </c>
      <c r="G168" s="16" t="s">
        <v>18</v>
      </c>
      <c r="H168" s="16" t="str">
        <f>_xlfn.XLOOKUP(G168,'1-Players'!$A$2:$A$27,'1-Players'!$D$2:$D$27,"")</f>
        <v>Corey Walden</v>
      </c>
      <c r="I168" s="16" t="s">
        <v>137</v>
      </c>
      <c r="K168" s="16" t="str" cm="1">
        <f t="array" ref="K168">IFERROR(_xlfn.IFS(I168="Free Throw",1,I168="2-Point Shot",2,I168="Dunk",2,I168="3-Point Shot",3),"")</f>
        <v/>
      </c>
      <c r="L168" s="16" t="str" cm="1">
        <f t="array" ref="L168">IFERROR(_xlfn.IFS(J168="Made",1,J168="Missed",0),"")</f>
        <v/>
      </c>
      <c r="M168" s="16" t="str">
        <f t="shared" si="13"/>
        <v/>
      </c>
      <c r="R168" s="16" t="str">
        <f t="shared" si="14"/>
        <v/>
      </c>
      <c r="S168" s="16" t="str" cm="1">
        <f t="array" ref="S168">IFERROR(_xlfn.IFS(I168="Offensive Rebound",1),"")</f>
        <v/>
      </c>
      <c r="T168" s="16" t="str" cm="1">
        <f t="array" ref="T168">IFERROR(_xlfn.IFS(I168="Defensive Rebound",1),"")</f>
        <v/>
      </c>
      <c r="U168" s="16" t="str" cm="1">
        <f t="array" ref="U168">IFERROR(_xlfn.IFS(I168="Assist",1),"")</f>
        <v/>
      </c>
      <c r="V168" s="16" t="str" cm="1">
        <f t="array" ref="V168">IFERROR(_xlfn.IFS(I168="Turnover",1),"")</f>
        <v/>
      </c>
      <c r="W168" s="16" t="str" cm="1">
        <f t="array" ref="W168">IFERROR(_xlfn.IFS(I168="Steal",1),"")</f>
        <v/>
      </c>
      <c r="X168" s="16" t="str" cm="1">
        <f t="array" ref="X168">IFERROR(_xlfn.IFS(I168="Block",1),"")</f>
        <v/>
      </c>
      <c r="Y168" s="16" t="str" cm="1">
        <f t="array" ref="Y168">IFERROR(_xlfn.IFS(I168="Block Received",1),"")</f>
        <v/>
      </c>
      <c r="Z168" s="16" t="str" cm="1">
        <f t="array" ref="Z168">IFERROR(_xlfn.IFS(I168="Foul",1,I168="Foul Technical",1,I168="Offensive Foul",1),"")</f>
        <v/>
      </c>
      <c r="AA168" s="16" t="str" cm="1">
        <f t="array" ref="AA168">IFERROR(_xlfn.IFS(I168="Foul Received",1),"")</f>
        <v/>
      </c>
      <c r="AB168" s="49" t="str" cm="1">
        <f t="array" ref="AB168">IFERROR(_xlfn.IFS(I168="Starting lineup",C168,I168="Substitution - In",C168),"")</f>
        <v/>
      </c>
      <c r="AC168" s="46" cm="1">
        <f t="array" ref="AC168">IFERROR(_xlfn.IFS(I168="Finishing lineup",C168,I168="Substitution - Out",C168),"")</f>
        <v>0</v>
      </c>
      <c r="AE168" s="50" cm="1">
        <f t="array" ref="AE168">IF(AC168&lt;&gt;"",LOOKUP(2,1/((G$2:G167=G168)*(AB$2:AB167&lt;&gt;"")),AB$2:AB167)-AC168,"")</f>
        <v>3.6342592592592594E-3</v>
      </c>
    </row>
    <row r="169" spans="1:31" hidden="1" x14ac:dyDescent="0.35">
      <c r="A169" s="16">
        <v>1</v>
      </c>
      <c r="B169" s="19">
        <v>165</v>
      </c>
      <c r="C169" s="46">
        <v>0</v>
      </c>
      <c r="D169" s="16">
        <f t="shared" si="24"/>
        <v>0</v>
      </c>
      <c r="E169" s="16">
        <f t="shared" si="12"/>
        <v>0</v>
      </c>
      <c r="F169" s="16" t="s">
        <v>16</v>
      </c>
      <c r="G169" s="16" t="s">
        <v>22</v>
      </c>
      <c r="H169" s="16" t="str">
        <f>_xlfn.XLOOKUP(G169,'1-Players'!$A$2:$A$27,'1-Players'!$D$2:$D$27,"")</f>
        <v>Oriol Paulí</v>
      </c>
      <c r="I169" s="16" t="s">
        <v>137</v>
      </c>
      <c r="K169" s="16" t="str" cm="1">
        <f t="array" ref="K169">IFERROR(_xlfn.IFS(I169="Free Throw",1,I169="2-Point Shot",2,I169="Dunk",2,I169="3-Point Shot",3),"")</f>
        <v/>
      </c>
      <c r="L169" s="16" t="str" cm="1">
        <f t="array" ref="L169">IFERROR(_xlfn.IFS(J169="Made",1,J169="Missed",0),"")</f>
        <v/>
      </c>
      <c r="M169" s="16" t="str">
        <f t="shared" si="13"/>
        <v/>
      </c>
      <c r="R169" s="16" t="str">
        <f t="shared" si="14"/>
        <v/>
      </c>
      <c r="S169" s="16" t="str" cm="1">
        <f t="array" ref="S169">IFERROR(_xlfn.IFS(I169="Offensive Rebound",1),"")</f>
        <v/>
      </c>
      <c r="T169" s="16" t="str" cm="1">
        <f t="array" ref="T169">IFERROR(_xlfn.IFS(I169="Defensive Rebound",1),"")</f>
        <v/>
      </c>
      <c r="U169" s="16" t="str" cm="1">
        <f t="array" ref="U169">IFERROR(_xlfn.IFS(I169="Assist",1),"")</f>
        <v/>
      </c>
      <c r="V169" s="16" t="str" cm="1">
        <f t="array" ref="V169">IFERROR(_xlfn.IFS(I169="Turnover",1),"")</f>
        <v/>
      </c>
      <c r="W169" s="16" t="str" cm="1">
        <f t="array" ref="W169">IFERROR(_xlfn.IFS(I169="Steal",1),"")</f>
        <v/>
      </c>
      <c r="X169" s="16" t="str" cm="1">
        <f t="array" ref="X169">IFERROR(_xlfn.IFS(I169="Block",1),"")</f>
        <v/>
      </c>
      <c r="Y169" s="16" t="str" cm="1">
        <f t="array" ref="Y169">IFERROR(_xlfn.IFS(I169="Block Received",1),"")</f>
        <v/>
      </c>
      <c r="Z169" s="16" t="str" cm="1">
        <f t="array" ref="Z169">IFERROR(_xlfn.IFS(I169="Foul",1,I169="Foul Technical",1,I169="Offensive Foul",1),"")</f>
        <v/>
      </c>
      <c r="AA169" s="16" t="str" cm="1">
        <f t="array" ref="AA169">IFERROR(_xlfn.IFS(I169="Foul Received",1),"")</f>
        <v/>
      </c>
      <c r="AB169" s="49" t="str" cm="1">
        <f t="array" ref="AB169">IFERROR(_xlfn.IFS(I169="Starting lineup",C169,I169="Substitution - In",C169),"")</f>
        <v/>
      </c>
      <c r="AC169" s="46" cm="1">
        <f t="array" ref="AC169">IFERROR(_xlfn.IFS(I169="Finishing lineup",C169,I169="Substitution - Out",C169),"")</f>
        <v>0</v>
      </c>
      <c r="AE169" s="50" cm="1">
        <f t="array" ref="AE169">IF(AC169&lt;&gt;"",LOOKUP(2,1/((G$2:G168=G169)*(AB$2:AB168&lt;&gt;"")),AB$2:AB168)-AC169,"")</f>
        <v>1.6087962962962963E-3</v>
      </c>
    </row>
    <row r="170" spans="1:31" hidden="1" x14ac:dyDescent="0.35">
      <c r="A170" s="16">
        <v>1</v>
      </c>
      <c r="B170" s="19">
        <v>166</v>
      </c>
      <c r="C170" s="46">
        <v>0</v>
      </c>
      <c r="D170" s="16">
        <f t="shared" si="24"/>
        <v>0</v>
      </c>
      <c r="E170" s="16">
        <f t="shared" si="12"/>
        <v>0</v>
      </c>
      <c r="F170" s="16" t="s">
        <v>16</v>
      </c>
      <c r="G170" s="16" t="s">
        <v>39</v>
      </c>
      <c r="H170" s="16" t="str">
        <f>_xlfn.XLOOKUP(G170,'1-Players'!$A$2:$A$27,'1-Players'!$D$2:$D$27,"")</f>
        <v>Millán Jiménez</v>
      </c>
      <c r="I170" s="16" t="s">
        <v>137</v>
      </c>
      <c r="K170" s="16" t="str" cm="1">
        <f t="array" ref="K170">IFERROR(_xlfn.IFS(I170="Free Throw",1,I170="2-Point Shot",2,I170="Dunk",2,I170="3-Point Shot",3),"")</f>
        <v/>
      </c>
      <c r="L170" s="16" t="str" cm="1">
        <f t="array" ref="L170">IFERROR(_xlfn.IFS(J170="Made",1,J170="Missed",0),"")</f>
        <v/>
      </c>
      <c r="M170" s="16" t="str">
        <f t="shared" si="13"/>
        <v/>
      </c>
      <c r="R170" s="16" t="str">
        <f t="shared" si="14"/>
        <v/>
      </c>
      <c r="S170" s="16" t="str" cm="1">
        <f t="array" ref="S170">IFERROR(_xlfn.IFS(I170="Offensive Rebound",1),"")</f>
        <v/>
      </c>
      <c r="T170" s="16" t="str" cm="1">
        <f t="array" ref="T170">IFERROR(_xlfn.IFS(I170="Defensive Rebound",1),"")</f>
        <v/>
      </c>
      <c r="U170" s="16" t="str" cm="1">
        <f t="array" ref="U170">IFERROR(_xlfn.IFS(I170="Assist",1),"")</f>
        <v/>
      </c>
      <c r="V170" s="16" t="str" cm="1">
        <f t="array" ref="V170">IFERROR(_xlfn.IFS(I170="Turnover",1),"")</f>
        <v/>
      </c>
      <c r="W170" s="16" t="str" cm="1">
        <f t="array" ref="W170">IFERROR(_xlfn.IFS(I170="Steal",1),"")</f>
        <v/>
      </c>
      <c r="X170" s="16" t="str" cm="1">
        <f t="array" ref="X170">IFERROR(_xlfn.IFS(I170="Block",1),"")</f>
        <v/>
      </c>
      <c r="Y170" s="16" t="str" cm="1">
        <f t="array" ref="Y170">IFERROR(_xlfn.IFS(I170="Block Received",1),"")</f>
        <v/>
      </c>
      <c r="Z170" s="16" t="str" cm="1">
        <f t="array" ref="Z170">IFERROR(_xlfn.IFS(I170="Foul",1,I170="Foul Technical",1,I170="Offensive Foul",1),"")</f>
        <v/>
      </c>
      <c r="AA170" s="16" t="str" cm="1">
        <f t="array" ref="AA170">IFERROR(_xlfn.IFS(I170="Foul Received",1),"")</f>
        <v/>
      </c>
      <c r="AB170" s="49" t="str" cm="1">
        <f t="array" ref="AB170">IFERROR(_xlfn.IFS(I170="Starting lineup",C170,I170="Substitution - In",C170),"")</f>
        <v/>
      </c>
      <c r="AC170" s="46" cm="1">
        <f t="array" ref="AC170">IFERROR(_xlfn.IFS(I170="Finishing lineup",C170,I170="Substitution - Out",C170),"")</f>
        <v>0</v>
      </c>
      <c r="AE170" s="50" cm="1">
        <f t="array" ref="AE170">IF(AC170&lt;&gt;"",LOOKUP(2,1/((G$2:G169=G170)*(AB$2:AB169&lt;&gt;"")),AB$2:AB169)-AC170,"")</f>
        <v>3.9930555555555552E-3</v>
      </c>
    </row>
    <row r="171" spans="1:31" hidden="1" x14ac:dyDescent="0.35">
      <c r="A171" s="16">
        <v>1</v>
      </c>
      <c r="B171" s="19">
        <v>167</v>
      </c>
      <c r="C171" s="46">
        <v>0</v>
      </c>
      <c r="D171" s="16">
        <f t="shared" si="24"/>
        <v>0</v>
      </c>
      <c r="E171" s="16">
        <f t="shared" si="12"/>
        <v>0</v>
      </c>
      <c r="F171" s="16" t="s">
        <v>16</v>
      </c>
      <c r="G171" s="16" t="s">
        <v>41</v>
      </c>
      <c r="H171" s="16" t="str">
        <f>_xlfn.XLOOKUP(G171,'1-Players'!$A$2:$A$27,'1-Players'!$D$2:$D$27,"")</f>
        <v>John Shurna</v>
      </c>
      <c r="I171" s="16" t="s">
        <v>137</v>
      </c>
      <c r="K171" s="16" t="str" cm="1">
        <f t="array" ref="K171">IFERROR(_xlfn.IFS(I171="Free Throw",1,I171="2-Point Shot",2,I171="Dunk",2,I171="3-Point Shot",3),"")</f>
        <v/>
      </c>
      <c r="L171" s="16" t="str" cm="1">
        <f t="array" ref="L171">IFERROR(_xlfn.IFS(J171="Made",1,J171="Missed",0),"")</f>
        <v/>
      </c>
      <c r="M171" s="16" t="str">
        <f t="shared" si="13"/>
        <v/>
      </c>
      <c r="R171" s="16" t="str">
        <f t="shared" si="14"/>
        <v/>
      </c>
      <c r="S171" s="16" t="str" cm="1">
        <f t="array" ref="S171">IFERROR(_xlfn.IFS(I171="Offensive Rebound",1),"")</f>
        <v/>
      </c>
      <c r="T171" s="16" t="str" cm="1">
        <f t="array" ref="T171">IFERROR(_xlfn.IFS(I171="Defensive Rebound",1),"")</f>
        <v/>
      </c>
      <c r="U171" s="16" t="str" cm="1">
        <f t="array" ref="U171">IFERROR(_xlfn.IFS(I171="Assist",1),"")</f>
        <v/>
      </c>
      <c r="V171" s="16" t="str" cm="1">
        <f t="array" ref="V171">IFERROR(_xlfn.IFS(I171="Turnover",1),"")</f>
        <v/>
      </c>
      <c r="W171" s="16" t="str" cm="1">
        <f t="array" ref="W171">IFERROR(_xlfn.IFS(I171="Steal",1),"")</f>
        <v/>
      </c>
      <c r="X171" s="16" t="str" cm="1">
        <f t="array" ref="X171">IFERROR(_xlfn.IFS(I171="Block",1),"")</f>
        <v/>
      </c>
      <c r="Y171" s="16" t="str" cm="1">
        <f t="array" ref="Y171">IFERROR(_xlfn.IFS(I171="Block Received",1),"")</f>
        <v/>
      </c>
      <c r="Z171" s="16" t="str" cm="1">
        <f t="array" ref="Z171">IFERROR(_xlfn.IFS(I171="Foul",1,I171="Foul Technical",1,I171="Offensive Foul",1),"")</f>
        <v/>
      </c>
      <c r="AA171" s="16" t="str" cm="1">
        <f t="array" ref="AA171">IFERROR(_xlfn.IFS(I171="Foul Received",1),"")</f>
        <v/>
      </c>
      <c r="AB171" s="49" t="str" cm="1">
        <f t="array" ref="AB171">IFERROR(_xlfn.IFS(I171="Starting lineup",C171,I171="Substitution - In",C171),"")</f>
        <v/>
      </c>
      <c r="AC171" s="46" cm="1">
        <f t="array" ref="AC171">IFERROR(_xlfn.IFS(I171="Finishing lineup",C171,I171="Substitution - Out",C171),"")</f>
        <v>0</v>
      </c>
      <c r="AE171" s="50" cm="1">
        <f t="array" ref="AE171">IF(AC171&lt;&gt;"",LOOKUP(2,1/((G$2:G170=G171)*(AB$2:AB170&lt;&gt;"")),AB$2:AB170)-AC171,"")</f>
        <v>3.9930555555555552E-3</v>
      </c>
    </row>
    <row r="172" spans="1:31" hidden="1" x14ac:dyDescent="0.35">
      <c r="A172" s="16">
        <v>1</v>
      </c>
      <c r="B172" s="19">
        <v>168</v>
      </c>
      <c r="C172" s="46">
        <v>0</v>
      </c>
      <c r="D172" s="16">
        <f t="shared" si="24"/>
        <v>0</v>
      </c>
      <c r="E172" s="16">
        <f t="shared" si="12"/>
        <v>0</v>
      </c>
      <c r="F172" s="16" t="s">
        <v>16</v>
      </c>
      <c r="G172" s="16" t="s">
        <v>43</v>
      </c>
      <c r="H172" s="16" t="str">
        <f>_xlfn.XLOOKUP(G172,'1-Players'!$A$2:$A$27,'1-Players'!$D$2:$D$27,"")</f>
        <v>Cameron Krutwig</v>
      </c>
      <c r="I172" s="16" t="s">
        <v>137</v>
      </c>
      <c r="K172" s="16" t="str" cm="1">
        <f t="array" ref="K172">IFERROR(_xlfn.IFS(I172="Free Throw",1,I172="2-Point Shot",2,I172="Dunk",2,I172="3-Point Shot",3),"")</f>
        <v/>
      </c>
      <c r="L172" s="16" t="str" cm="1">
        <f t="array" ref="L172">IFERROR(_xlfn.IFS(J172="Made",1,J172="Missed",0),"")</f>
        <v/>
      </c>
      <c r="M172" s="16" t="str">
        <f t="shared" si="13"/>
        <v/>
      </c>
      <c r="R172" s="16" t="str">
        <f t="shared" si="14"/>
        <v/>
      </c>
      <c r="S172" s="16" t="str" cm="1">
        <f t="array" ref="S172">IFERROR(_xlfn.IFS(I172="Offensive Rebound",1),"")</f>
        <v/>
      </c>
      <c r="T172" s="16" t="str" cm="1">
        <f t="array" ref="T172">IFERROR(_xlfn.IFS(I172="Defensive Rebound",1),"")</f>
        <v/>
      </c>
      <c r="U172" s="16" t="str" cm="1">
        <f t="array" ref="U172">IFERROR(_xlfn.IFS(I172="Assist",1),"")</f>
        <v/>
      </c>
      <c r="V172" s="16" t="str" cm="1">
        <f t="array" ref="V172">IFERROR(_xlfn.IFS(I172="Turnover",1),"")</f>
        <v/>
      </c>
      <c r="W172" s="16" t="str" cm="1">
        <f t="array" ref="W172">IFERROR(_xlfn.IFS(I172="Steal",1),"")</f>
        <v/>
      </c>
      <c r="X172" s="16" t="str" cm="1">
        <f t="array" ref="X172">IFERROR(_xlfn.IFS(I172="Block",1),"")</f>
        <v/>
      </c>
      <c r="Y172" s="16" t="str" cm="1">
        <f t="array" ref="Y172">IFERROR(_xlfn.IFS(I172="Block Received",1),"")</f>
        <v/>
      </c>
      <c r="Z172" s="16" t="str" cm="1">
        <f t="array" ref="Z172">IFERROR(_xlfn.IFS(I172="Foul",1,I172="Foul Technical",1,I172="Offensive Foul",1),"")</f>
        <v/>
      </c>
      <c r="AA172" s="16" t="str" cm="1">
        <f t="array" ref="AA172">IFERROR(_xlfn.IFS(I172="Foul Received",1),"")</f>
        <v/>
      </c>
      <c r="AB172" s="49" t="str" cm="1">
        <f t="array" ref="AB172">IFERROR(_xlfn.IFS(I172="Starting lineup",C172,I172="Substitution - In",C172),"")</f>
        <v/>
      </c>
      <c r="AC172" s="46" cm="1">
        <f t="array" ref="AC172">IFERROR(_xlfn.IFS(I172="Finishing lineup",C172,I172="Substitution - Out",C172),"")</f>
        <v>0</v>
      </c>
      <c r="AE172" s="50" cm="1">
        <f t="array" ref="AE172">IF(AC172&lt;&gt;"",LOOKUP(2,1/((G$2:G171=G172)*(AB$2:AB171&lt;&gt;"")),AB$2:AB171)-AC172,"")</f>
        <v>1.5509259259259259E-3</v>
      </c>
    </row>
    <row r="173" spans="1:31" hidden="1" x14ac:dyDescent="0.35">
      <c r="A173" s="16">
        <v>1</v>
      </c>
      <c r="B173" s="19">
        <v>169</v>
      </c>
      <c r="C173" s="46">
        <v>0</v>
      </c>
      <c r="D173" s="16">
        <f t="shared" si="24"/>
        <v>0</v>
      </c>
      <c r="E173" s="16">
        <f t="shared" si="12"/>
        <v>0</v>
      </c>
      <c r="F173" s="16" t="s">
        <v>46</v>
      </c>
      <c r="G173" s="16" t="s">
        <v>9</v>
      </c>
      <c r="H173" s="16" t="str">
        <f>_xlfn.XLOOKUP(G173,'1-Players'!$A$2:$A$27,'1-Players'!$D$2:$D$27,"")</f>
        <v>Agustín Ubal</v>
      </c>
      <c r="I173" s="16" t="s">
        <v>137</v>
      </c>
      <c r="K173" s="16" t="str" cm="1">
        <f t="array" ref="K173">IFERROR(_xlfn.IFS(I173="Free Throw",1,I173="2-Point Shot",2,I173="Dunk",2,I173="3-Point Shot",3),"")</f>
        <v/>
      </c>
      <c r="L173" s="16" t="str" cm="1">
        <f t="array" ref="L173">IFERROR(_xlfn.IFS(J173="Made",1,J173="Missed",0),"")</f>
        <v/>
      </c>
      <c r="M173" s="16" t="str">
        <f t="shared" si="13"/>
        <v/>
      </c>
      <c r="R173" s="16" t="str">
        <f t="shared" si="14"/>
        <v/>
      </c>
      <c r="S173" s="16" t="str" cm="1">
        <f t="array" ref="S173">IFERROR(_xlfn.IFS(I173="Offensive Rebound",1),"")</f>
        <v/>
      </c>
      <c r="T173" s="16" t="str" cm="1">
        <f t="array" ref="T173">IFERROR(_xlfn.IFS(I173="Defensive Rebound",1),"")</f>
        <v/>
      </c>
      <c r="U173" s="16" t="str" cm="1">
        <f t="array" ref="U173">IFERROR(_xlfn.IFS(I173="Assist",1),"")</f>
        <v/>
      </c>
      <c r="V173" s="16" t="str" cm="1">
        <f t="array" ref="V173">IFERROR(_xlfn.IFS(I173="Turnover",1),"")</f>
        <v/>
      </c>
      <c r="W173" s="16" t="str" cm="1">
        <f t="array" ref="W173">IFERROR(_xlfn.IFS(I173="Steal",1),"")</f>
        <v/>
      </c>
      <c r="X173" s="16" t="str" cm="1">
        <f t="array" ref="X173">IFERROR(_xlfn.IFS(I173="Block",1),"")</f>
        <v/>
      </c>
      <c r="Y173" s="16" t="str" cm="1">
        <f t="array" ref="Y173">IFERROR(_xlfn.IFS(I173="Block Received",1),"")</f>
        <v/>
      </c>
      <c r="Z173" s="16" t="str" cm="1">
        <f t="array" ref="Z173">IFERROR(_xlfn.IFS(I173="Foul",1,I173="Foul Technical",1,I173="Offensive Foul",1),"")</f>
        <v/>
      </c>
      <c r="AA173" s="16" t="str" cm="1">
        <f t="array" ref="AA173">IFERROR(_xlfn.IFS(I173="Foul Received",1),"")</f>
        <v/>
      </c>
      <c r="AB173" s="49" t="str" cm="1">
        <f t="array" ref="AB173">IFERROR(_xlfn.IFS(I173="Starting lineup",C173,I173="Substitution - In",C173),"")</f>
        <v/>
      </c>
      <c r="AC173" s="46" cm="1">
        <f t="array" ref="AC173">IFERROR(_xlfn.IFS(I173="Finishing lineup",C173,I173="Substitution - Out",C173),"")</f>
        <v>0</v>
      </c>
      <c r="AE173" s="50" cm="1">
        <f t="array" ref="AE173">IF(AC173&lt;&gt;"",LOOKUP(2,1/((G$2:G172=G173)*(AB$2:AB172&lt;&gt;"")),AB$2:AB172)-AC173,"")</f>
        <v>3.1828703703703702E-3</v>
      </c>
    </row>
    <row r="174" spans="1:31" hidden="1" x14ac:dyDescent="0.35">
      <c r="A174" s="16">
        <v>1</v>
      </c>
      <c r="B174" s="19">
        <v>170</v>
      </c>
      <c r="C174" s="46">
        <v>0</v>
      </c>
      <c r="D174" s="16">
        <f t="shared" si="24"/>
        <v>0</v>
      </c>
      <c r="E174" s="16">
        <f t="shared" si="12"/>
        <v>0</v>
      </c>
      <c r="F174" s="16" t="s">
        <v>46</v>
      </c>
      <c r="G174" s="16" t="s">
        <v>11</v>
      </c>
      <c r="H174" s="16" t="str">
        <f>_xlfn.XLOOKUP(G174,'1-Players'!$A$2:$A$27,'1-Players'!$D$2:$D$27,"")</f>
        <v>Marcis Steinbergs</v>
      </c>
      <c r="I174" s="16" t="s">
        <v>137</v>
      </c>
      <c r="K174" s="16" t="str" cm="1">
        <f t="array" ref="K174">IFERROR(_xlfn.IFS(I174="Free Throw",1,I174="2-Point Shot",2,I174="Dunk",2,I174="3-Point Shot",3),"")</f>
        <v/>
      </c>
      <c r="L174" s="16" t="str" cm="1">
        <f t="array" ref="L174">IFERROR(_xlfn.IFS(J174="Made",1,J174="Missed",0),"")</f>
        <v/>
      </c>
      <c r="M174" s="16" t="str">
        <f t="shared" si="13"/>
        <v/>
      </c>
      <c r="R174" s="16" t="str">
        <f t="shared" si="14"/>
        <v/>
      </c>
      <c r="S174" s="16" t="str" cm="1">
        <f t="array" ref="S174">IFERROR(_xlfn.IFS(I174="Offensive Rebound",1),"")</f>
        <v/>
      </c>
      <c r="T174" s="16" t="str" cm="1">
        <f t="array" ref="T174">IFERROR(_xlfn.IFS(I174="Defensive Rebound",1),"")</f>
        <v/>
      </c>
      <c r="U174" s="16" t="str" cm="1">
        <f t="array" ref="U174">IFERROR(_xlfn.IFS(I174="Assist",1),"")</f>
        <v/>
      </c>
      <c r="V174" s="16" t="str" cm="1">
        <f t="array" ref="V174">IFERROR(_xlfn.IFS(I174="Turnover",1),"")</f>
        <v/>
      </c>
      <c r="W174" s="16" t="str" cm="1">
        <f t="array" ref="W174">IFERROR(_xlfn.IFS(I174="Steal",1),"")</f>
        <v/>
      </c>
      <c r="X174" s="16" t="str" cm="1">
        <f t="array" ref="X174">IFERROR(_xlfn.IFS(I174="Block",1),"")</f>
        <v/>
      </c>
      <c r="Y174" s="16" t="str" cm="1">
        <f t="array" ref="Y174">IFERROR(_xlfn.IFS(I174="Block Received",1),"")</f>
        <v/>
      </c>
      <c r="Z174" s="16" t="str" cm="1">
        <f t="array" ref="Z174">IFERROR(_xlfn.IFS(I174="Foul",1,I174="Foul Technical",1,I174="Offensive Foul",1),"")</f>
        <v/>
      </c>
      <c r="AA174" s="16" t="str" cm="1">
        <f t="array" ref="AA174">IFERROR(_xlfn.IFS(I174="Foul Received",1),"")</f>
        <v/>
      </c>
      <c r="AB174" s="49" t="str" cm="1">
        <f t="array" ref="AB174">IFERROR(_xlfn.IFS(I174="Starting lineup",C174,I174="Substitution - In",C174),"")</f>
        <v/>
      </c>
      <c r="AC174" s="46" cm="1">
        <f t="array" ref="AC174">IFERROR(_xlfn.IFS(I174="Finishing lineup",C174,I174="Substitution - Out",C174),"")</f>
        <v>0</v>
      </c>
      <c r="AE174" s="50" cm="1">
        <f t="array" ref="AE174">IF(AC174&lt;&gt;"",LOOKUP(2,1/((G$2:G173=G174)*(AB$2:AB173&lt;&gt;"")),AB$2:AB173)-AC174,"")</f>
        <v>2.5925925925925925E-3</v>
      </c>
    </row>
    <row r="175" spans="1:31" hidden="1" x14ac:dyDescent="0.35">
      <c r="A175" s="16">
        <v>1</v>
      </c>
      <c r="B175" s="19">
        <v>171</v>
      </c>
      <c r="C175" s="46">
        <v>0</v>
      </c>
      <c r="D175" s="16">
        <f t="shared" si="24"/>
        <v>0</v>
      </c>
      <c r="E175" s="16">
        <f t="shared" si="12"/>
        <v>0</v>
      </c>
      <c r="F175" s="16" t="s">
        <v>46</v>
      </c>
      <c r="G175" s="16" t="s">
        <v>35</v>
      </c>
      <c r="H175" s="16" t="str">
        <f>_xlfn.XLOOKUP(G175,'1-Players'!$A$2:$A$27,'1-Players'!$D$2:$D$27,"")</f>
        <v>Grant Golden</v>
      </c>
      <c r="I175" s="16" t="s">
        <v>137</v>
      </c>
      <c r="K175" s="16" t="str" cm="1">
        <f t="array" ref="K175">IFERROR(_xlfn.IFS(I175="Free Throw",1,I175="2-Point Shot",2,I175="Dunk",2,I175="3-Point Shot",3),"")</f>
        <v/>
      </c>
      <c r="L175" s="16" t="str" cm="1">
        <f t="array" ref="L175">IFERROR(_xlfn.IFS(J175="Made",1,J175="Missed",0),"")</f>
        <v/>
      </c>
      <c r="M175" s="16" t="str">
        <f t="shared" si="13"/>
        <v/>
      </c>
      <c r="R175" s="16" t="str">
        <f t="shared" si="14"/>
        <v/>
      </c>
      <c r="S175" s="16" t="str" cm="1">
        <f t="array" ref="S175">IFERROR(_xlfn.IFS(I175="Offensive Rebound",1),"")</f>
        <v/>
      </c>
      <c r="T175" s="16" t="str" cm="1">
        <f t="array" ref="T175">IFERROR(_xlfn.IFS(I175="Defensive Rebound",1),"")</f>
        <v/>
      </c>
      <c r="U175" s="16" t="str" cm="1">
        <f t="array" ref="U175">IFERROR(_xlfn.IFS(I175="Assist",1),"")</f>
        <v/>
      </c>
      <c r="V175" s="16" t="str" cm="1">
        <f t="array" ref="V175">IFERROR(_xlfn.IFS(I175="Turnover",1),"")</f>
        <v/>
      </c>
      <c r="W175" s="16" t="str" cm="1">
        <f t="array" ref="W175">IFERROR(_xlfn.IFS(I175="Steal",1),"")</f>
        <v/>
      </c>
      <c r="X175" s="16" t="str" cm="1">
        <f t="array" ref="X175">IFERROR(_xlfn.IFS(I175="Block",1),"")</f>
        <v/>
      </c>
      <c r="Y175" s="16" t="str" cm="1">
        <f t="array" ref="Y175">IFERROR(_xlfn.IFS(I175="Block Received",1),"")</f>
        <v/>
      </c>
      <c r="Z175" s="16" t="str" cm="1">
        <f t="array" ref="Z175">IFERROR(_xlfn.IFS(I175="Foul",1,I175="Foul Technical",1,I175="Offensive Foul",1),"")</f>
        <v/>
      </c>
      <c r="AA175" s="16" t="str" cm="1">
        <f t="array" ref="AA175">IFERROR(_xlfn.IFS(I175="Foul Received",1),"")</f>
        <v/>
      </c>
      <c r="AB175" s="49" t="str" cm="1">
        <f t="array" ref="AB175">IFERROR(_xlfn.IFS(I175="Starting lineup",C175,I175="Substitution - In",C175),"")</f>
        <v/>
      </c>
      <c r="AC175" s="46" cm="1">
        <f t="array" ref="AC175">IFERROR(_xlfn.IFS(I175="Finishing lineup",C175,I175="Substitution - Out",C175),"")</f>
        <v>0</v>
      </c>
      <c r="AE175" s="50" cm="1">
        <f t="array" ref="AE175">IF(AC175&lt;&gt;"",LOOKUP(2,1/((G$2:G174=G175)*(AB$2:AB174&lt;&gt;"")),AB$2:AB174)-AC175,"")</f>
        <v>1.5509259259259259E-3</v>
      </c>
    </row>
    <row r="176" spans="1:31" hidden="1" x14ac:dyDescent="0.35">
      <c r="A176" s="16">
        <v>1</v>
      </c>
      <c r="B176" s="19">
        <v>172</v>
      </c>
      <c r="C176" s="46">
        <v>0</v>
      </c>
      <c r="D176" s="16">
        <f t="shared" si="24"/>
        <v>0</v>
      </c>
      <c r="E176" s="16">
        <f t="shared" si="12"/>
        <v>0</v>
      </c>
      <c r="F176" s="16" t="s">
        <v>46</v>
      </c>
      <c r="G176" s="16" t="s">
        <v>68</v>
      </c>
      <c r="H176" s="16" t="str">
        <f>_xlfn.XLOOKUP(G176,'1-Players'!$A$2:$A$27,'1-Players'!$D$2:$D$27,"")</f>
        <v>Dani Pérez</v>
      </c>
      <c r="I176" s="16" t="s">
        <v>137</v>
      </c>
      <c r="L176" s="16" t="str" cm="1">
        <f t="array" ref="L176">IFERROR(_xlfn.IFS(J176="Made",1,J176="Missed",0),"")</f>
        <v/>
      </c>
      <c r="M176" s="16" t="str">
        <f t="shared" si="13"/>
        <v/>
      </c>
      <c r="R176" s="16" t="str">
        <f t="shared" si="14"/>
        <v/>
      </c>
      <c r="S176" s="16" t="str" cm="1">
        <f t="array" ref="S176">IFERROR(_xlfn.IFS(I176="Offensive Rebound",1),"")</f>
        <v/>
      </c>
      <c r="T176" s="16" t="str" cm="1">
        <f t="array" ref="T176">IFERROR(_xlfn.IFS(I176="Defensive Rebound",1),"")</f>
        <v/>
      </c>
      <c r="U176" s="16" t="str" cm="1">
        <f t="array" ref="U176">IFERROR(_xlfn.IFS(I176="Assist",1),"")</f>
        <v/>
      </c>
      <c r="V176" s="16" t="str" cm="1">
        <f t="array" ref="V176">IFERROR(_xlfn.IFS(I176="Turnover",1),"")</f>
        <v/>
      </c>
      <c r="W176" s="16" t="str" cm="1">
        <f t="array" ref="W176">IFERROR(_xlfn.IFS(I176="Steal",1),"")</f>
        <v/>
      </c>
      <c r="X176" s="16" t="str" cm="1">
        <f t="array" ref="X176">IFERROR(_xlfn.IFS(I176="Block",1),"")</f>
        <v/>
      </c>
      <c r="Y176" s="16" t="str" cm="1">
        <f t="array" ref="Y176">IFERROR(_xlfn.IFS(I176="Block Received",1),"")</f>
        <v/>
      </c>
      <c r="Z176" s="16" t="str" cm="1">
        <f t="array" ref="Z176">IFERROR(_xlfn.IFS(I176="Foul",1,I176="Foul Technical",1,I176="Offensive Foul",1),"")</f>
        <v/>
      </c>
      <c r="AA176" s="16" t="str" cm="1">
        <f t="array" ref="AA176">IFERROR(_xlfn.IFS(I176="Foul Received",1),"")</f>
        <v/>
      </c>
      <c r="AB176" s="49" t="str" cm="1">
        <f t="array" ref="AB176">IFERROR(_xlfn.IFS(I176="Starting lineup",C176,I176="Substitution - In",C176),"")</f>
        <v/>
      </c>
      <c r="AC176" s="46" cm="1">
        <f t="array" ref="AC176">IFERROR(_xlfn.IFS(I176="Finishing lineup",C176,I176="Substitution - Out",C176),"")</f>
        <v>0</v>
      </c>
      <c r="AE176" s="50" cm="1">
        <f t="array" ref="AE176">IF(AC176&lt;&gt;"",LOOKUP(2,1/((G$2:G175=G176)*(AB$2:AB175&lt;&gt;"")),AB$2:AB175)-AC176,"")</f>
        <v>4.3055555555555555E-3</v>
      </c>
    </row>
    <row r="177" spans="1:31" hidden="1" x14ac:dyDescent="0.35">
      <c r="A177" s="16">
        <v>1</v>
      </c>
      <c r="B177" s="19">
        <v>173</v>
      </c>
      <c r="C177" s="46">
        <v>0</v>
      </c>
      <c r="D177" s="16">
        <f t="shared" si="24"/>
        <v>0</v>
      </c>
      <c r="E177" s="16">
        <f t="shared" si="12"/>
        <v>0</v>
      </c>
      <c r="F177" s="16" t="s">
        <v>46</v>
      </c>
      <c r="G177" s="16" t="s">
        <v>69</v>
      </c>
      <c r="H177" s="16" t="str">
        <f>_xlfn.XLOOKUP(G177,'1-Players'!$A$2:$A$27,'1-Players'!$D$2:$D$27,"")</f>
        <v>Alfonso Plummer</v>
      </c>
      <c r="I177" s="16" t="s">
        <v>137</v>
      </c>
      <c r="K177" s="16" t="str" cm="1">
        <f t="array" ref="K177">IFERROR(_xlfn.IFS(I177="Free Throw",1,I177="2-Point Shot",2,I177="Dunk",2,I177="3-Point Shot",3),"")</f>
        <v/>
      </c>
      <c r="L177" s="16" t="str" cm="1">
        <f t="array" ref="L177">IFERROR(_xlfn.IFS(J177="Made",1,J177="Missed",0),"")</f>
        <v/>
      </c>
      <c r="M177" s="16" t="str">
        <f t="shared" si="13"/>
        <v/>
      </c>
      <c r="R177" s="16" t="str">
        <f t="shared" si="14"/>
        <v/>
      </c>
      <c r="S177" s="16" t="str" cm="1">
        <f t="array" ref="S177">IFERROR(_xlfn.IFS(I177="Offensive Rebound",1),"")</f>
        <v/>
      </c>
      <c r="T177" s="16" t="str" cm="1">
        <f t="array" ref="T177">IFERROR(_xlfn.IFS(I177="Defensive Rebound",1),"")</f>
        <v/>
      </c>
      <c r="U177" s="16" t="str" cm="1">
        <f t="array" ref="U177">IFERROR(_xlfn.IFS(I177="Assist",1),"")</f>
        <v/>
      </c>
      <c r="V177" s="16" t="str" cm="1">
        <f t="array" ref="V177">IFERROR(_xlfn.IFS(I177="Turnover",1),"")</f>
        <v/>
      </c>
      <c r="W177" s="16" t="str" cm="1">
        <f t="array" ref="W177">IFERROR(_xlfn.IFS(I177="Steal",1),"")</f>
        <v/>
      </c>
      <c r="X177" s="16" t="str" cm="1">
        <f t="array" ref="X177">IFERROR(_xlfn.IFS(I177="Block",1),"")</f>
        <v/>
      </c>
      <c r="Y177" s="16" t="str" cm="1">
        <f t="array" ref="Y177">IFERROR(_xlfn.IFS(I177="Block Received",1),"")</f>
        <v/>
      </c>
      <c r="Z177" s="16" t="str" cm="1">
        <f t="array" ref="Z177">IFERROR(_xlfn.IFS(I177="Foul",1,I177="Foul Technical",1,I177="Offensive Foul",1),"")</f>
        <v/>
      </c>
      <c r="AA177" s="16" t="str" cm="1">
        <f t="array" ref="AA177">IFERROR(_xlfn.IFS(I177="Foul Received",1),"")</f>
        <v/>
      </c>
      <c r="AB177" s="49" t="str" cm="1">
        <f t="array" ref="AB177">IFERROR(_xlfn.IFS(I177="Starting lineup",C177,I177="Substitution - In",C177),"")</f>
        <v/>
      </c>
      <c r="AC177" s="46" cm="1">
        <f t="array" ref="AC177">IFERROR(_xlfn.IFS(I177="Finishing lineup",C177,I177="Substitution - Out",C177),"")</f>
        <v>0</v>
      </c>
      <c r="AE177" s="50" cm="1">
        <f t="array" ref="AE177">IF(AC177&lt;&gt;"",LOOKUP(2,1/((G$2:G176=G177)*(AB$2:AB176&lt;&gt;"")),AB$2:AB176)-AC177,"")</f>
        <v>3.6342592592592594E-3</v>
      </c>
    </row>
    <row r="178" spans="1:31" hidden="1" x14ac:dyDescent="0.35">
      <c r="K178" s="16" t="str" cm="1">
        <f t="array" ref="K178">IFERROR(_xlfn.IFS(I178="Free Throw",1,I178="2-Point Shot",2,I178="Dunk",2,I178="3-Point Shot",3),"")</f>
        <v/>
      </c>
      <c r="L178" s="16" t="str" cm="1">
        <f t="array" ref="L178">IFERROR(_xlfn.IFS(J178="Made",1,J178="Missed",0),"")</f>
        <v/>
      </c>
      <c r="M178" s="16" t="str">
        <f t="shared" si="13"/>
        <v/>
      </c>
      <c r="R178" s="16" t="str">
        <f t="shared" si="14"/>
        <v/>
      </c>
      <c r="S178" s="16" t="str" cm="1">
        <f t="array" ref="S178">IFERROR(_xlfn.IFS(I178="Offensive Rebound",1),"")</f>
        <v/>
      </c>
      <c r="T178" s="16" t="str" cm="1">
        <f t="array" ref="T178">IFERROR(_xlfn.IFS(I178="Defensive Rebound",1),"")</f>
        <v/>
      </c>
      <c r="U178" s="16" t="str" cm="1">
        <f t="array" ref="U178">IFERROR(_xlfn.IFS(I178="Assist",1),"")</f>
        <v/>
      </c>
      <c r="V178" s="16" t="str" cm="1">
        <f t="array" ref="V178">IFERROR(_xlfn.IFS(I178="Turnover",1),"")</f>
        <v/>
      </c>
      <c r="W178" s="16" t="str" cm="1">
        <f t="array" ref="W178">IFERROR(_xlfn.IFS(I178="Steal",1),"")</f>
        <v/>
      </c>
      <c r="X178" s="16" t="str" cm="1">
        <f t="array" ref="X178">IFERROR(_xlfn.IFS(I178="Block",1),"")</f>
        <v/>
      </c>
      <c r="Y178" s="16" t="str" cm="1">
        <f t="array" ref="Y178">IFERROR(_xlfn.IFS(I178="Block Received",1),"")</f>
        <v/>
      </c>
      <c r="Z178" s="16" t="str" cm="1">
        <f t="array" ref="Z178">IFERROR(_xlfn.IFS(I178="Foul",1,I178="Foul Technical",1,I178="Offensive Foul",1),"")</f>
        <v/>
      </c>
      <c r="AA178" s="16" t="str" cm="1">
        <f t="array" ref="AA178">IFERROR(_xlfn.IFS(I178="Foul Received",1),"")</f>
        <v/>
      </c>
      <c r="AB178" s="49" t="str" cm="1">
        <f t="array" ref="AB178">IFERROR(_xlfn.IFS(I178="Starting lineup",C178,I178="Substitution - In",C178),"")</f>
        <v/>
      </c>
      <c r="AC178" s="46" t="str" cm="1">
        <f t="array" ref="AC178">IFERROR(_xlfn.IFS(I178="Finishing lineup",C178,I178="Substitution - Out",C178),"")</f>
        <v/>
      </c>
      <c r="AE178" s="50" t="str" cm="1">
        <f t="array" ref="AE178">IF(AC178&lt;&gt;"",LOOKUP(2,1/((G$2:G177=G178)*(AB$2:AB177&lt;&gt;"")),AB$2:AB177)-AC178,"")</f>
        <v/>
      </c>
    </row>
    <row r="179" spans="1:31" hidden="1" x14ac:dyDescent="0.35">
      <c r="A179" s="15" t="s">
        <v>166</v>
      </c>
      <c r="B179" s="15"/>
      <c r="K179" s="16" t="str" cm="1">
        <f t="array" ref="K179">IFERROR(_xlfn.IFS(I179="Free Throw",1,I179="2-Point Shot",2,I179="Dunk",2,I179="3-Point Shot",3),"")</f>
        <v/>
      </c>
      <c r="L179" s="16" t="str" cm="1">
        <f t="array" ref="L179">IFERROR(_xlfn.IFS(J179="Made",1,J179="Missed",0),"")</f>
        <v/>
      </c>
      <c r="M179" s="16" t="str">
        <f t="shared" si="13"/>
        <v/>
      </c>
      <c r="R179" s="16" t="str">
        <f t="shared" si="14"/>
        <v/>
      </c>
      <c r="S179" s="16" t="str" cm="1">
        <f t="array" ref="S179">IFERROR(_xlfn.IFS(I179="Offensive Rebound",1),"")</f>
        <v/>
      </c>
      <c r="T179" s="16" t="str" cm="1">
        <f t="array" ref="T179">IFERROR(_xlfn.IFS(I179="Defensive Rebound",1),"")</f>
        <v/>
      </c>
      <c r="U179" s="16" t="str" cm="1">
        <f t="array" ref="U179">IFERROR(_xlfn.IFS(I179="Assist",1),"")</f>
        <v/>
      </c>
      <c r="V179" s="16" t="str" cm="1">
        <f t="array" ref="V179">IFERROR(_xlfn.IFS(I179="Turnover",1),"")</f>
        <v/>
      </c>
      <c r="W179" s="16" t="str" cm="1">
        <f t="array" ref="W179">IFERROR(_xlfn.IFS(I179="Steal",1),"")</f>
        <v/>
      </c>
      <c r="X179" s="16" t="str" cm="1">
        <f t="array" ref="X179">IFERROR(_xlfn.IFS(I179="Block",1),"")</f>
        <v/>
      </c>
      <c r="Y179" s="16" t="str" cm="1">
        <f t="array" ref="Y179">IFERROR(_xlfn.IFS(I179="Block Received",1),"")</f>
        <v/>
      </c>
      <c r="Z179" s="16" t="str" cm="1">
        <f t="array" ref="Z179">IFERROR(_xlfn.IFS(I179="Foul",1,I179="Foul Technical",1,I179="Offensive Foul",1),"")</f>
        <v/>
      </c>
      <c r="AA179" s="16" t="str" cm="1">
        <f t="array" ref="AA179">IFERROR(_xlfn.IFS(I179="Foul Received",1),"")</f>
        <v/>
      </c>
      <c r="AB179" s="49" t="str" cm="1">
        <f t="array" ref="AB179">IFERROR(_xlfn.IFS(I179="Starting lineup",C179,I179="Substitution - In",C179),"")</f>
        <v/>
      </c>
      <c r="AC179" s="46" t="str" cm="1">
        <f t="array" ref="AC179">IFERROR(_xlfn.IFS(I179="Finishing lineup",C179,I179="Substitution - Out",C179),"")</f>
        <v/>
      </c>
      <c r="AE179" s="50" t="str" cm="1">
        <f t="array" ref="AE179">IF(AC179&lt;&gt;"",LOOKUP(2,1/((G$2:G178=G179)*(AB$2:AB178&lt;&gt;"")),AB$2:AB178)-AC179,"")</f>
        <v/>
      </c>
    </row>
    <row r="180" spans="1:31" hidden="1" x14ac:dyDescent="0.35">
      <c r="A180" s="16">
        <v>2</v>
      </c>
      <c r="B180" s="19">
        <v>174</v>
      </c>
      <c r="C180" s="46">
        <v>6.9444444444444441E-3</v>
      </c>
      <c r="D180" s="16">
        <f t="shared" ref="D180:D200" si="25">MINUTE(C180)</f>
        <v>10</v>
      </c>
      <c r="E180" s="16">
        <f t="shared" ref="E180:E200" si="26">SECOND(C180)</f>
        <v>0</v>
      </c>
      <c r="F180" s="19" t="s">
        <v>16</v>
      </c>
      <c r="G180" s="16" t="s">
        <v>18</v>
      </c>
      <c r="H180" s="16" t="str">
        <f>_xlfn.XLOOKUP(G180,'1-Players'!$A$2:$A$27,'1-Players'!$D$2:$D$27,"")</f>
        <v>Corey Walden</v>
      </c>
      <c r="I180" s="16" t="s">
        <v>81</v>
      </c>
      <c r="K180" s="16" t="str" cm="1">
        <f t="array" ref="K180">IFERROR(_xlfn.IFS(I180="Free Throw",1,I180="2-Point Shot",2,I180="Dunk",2,I180="3-Point Shot",3),"")</f>
        <v/>
      </c>
      <c r="L180" s="16" t="str" cm="1">
        <f t="array" ref="L180">IFERROR(_xlfn.IFS(J180="Made",1,J180="Missed",0),"")</f>
        <v/>
      </c>
      <c r="M180" s="16" t="str">
        <f t="shared" si="13"/>
        <v/>
      </c>
      <c r="R180" s="16" t="str">
        <f t="shared" si="14"/>
        <v/>
      </c>
      <c r="S180" s="16" t="str" cm="1">
        <f t="array" ref="S180">IFERROR(_xlfn.IFS(I180="Offensive Rebound",1),"")</f>
        <v/>
      </c>
      <c r="T180" s="16" t="str" cm="1">
        <f t="array" ref="T180">IFERROR(_xlfn.IFS(I180="Defensive Rebound",1),"")</f>
        <v/>
      </c>
      <c r="U180" s="16" t="str" cm="1">
        <f t="array" ref="U180">IFERROR(_xlfn.IFS(I180="Assist",1),"")</f>
        <v/>
      </c>
      <c r="V180" s="16" t="str" cm="1">
        <f t="array" ref="V180">IFERROR(_xlfn.IFS(I180="Turnover",1),"")</f>
        <v/>
      </c>
      <c r="W180" s="16" t="str" cm="1">
        <f t="array" ref="W180">IFERROR(_xlfn.IFS(I180="Steal",1),"")</f>
        <v/>
      </c>
      <c r="X180" s="16" t="str" cm="1">
        <f t="array" ref="X180">IFERROR(_xlfn.IFS(I180="Block",1),"")</f>
        <v/>
      </c>
      <c r="Y180" s="16" t="str" cm="1">
        <f t="array" ref="Y180">IFERROR(_xlfn.IFS(I180="Block Received",1),"")</f>
        <v/>
      </c>
      <c r="Z180" s="16" t="str" cm="1">
        <f t="array" ref="Z180">IFERROR(_xlfn.IFS(I180="Foul",1,I180="Foul Technical",1,I180="Offensive Foul",1),"")</f>
        <v/>
      </c>
      <c r="AA180" s="16" t="str" cm="1">
        <f t="array" ref="AA180">IFERROR(_xlfn.IFS(I180="Foul Received",1),"")</f>
        <v/>
      </c>
      <c r="AB180" s="49" cm="1">
        <f t="array" ref="AB180">IFERROR(_xlfn.IFS(I180="Starting lineup",C180,I180="Substitution - In",C180),"")</f>
        <v>6.9444444444444441E-3</v>
      </c>
      <c r="AC180" s="46" t="str" cm="1">
        <f t="array" ref="AC180">IFERROR(_xlfn.IFS(I180="Finishing lineup",C180,I180="Substitution - Out",C180),"")</f>
        <v/>
      </c>
      <c r="AE180" s="50" t="str" cm="1">
        <f t="array" ref="AE180">IF(AC180&lt;&gt;"",LOOKUP(2,1/((G$2:G179=G180)*(AB$2:AB179&lt;&gt;"")),AB$2:AB179)-AC180,"")</f>
        <v/>
      </c>
    </row>
    <row r="181" spans="1:31" hidden="1" x14ac:dyDescent="0.35">
      <c r="A181" s="16">
        <v>2</v>
      </c>
      <c r="B181" s="19">
        <v>175</v>
      </c>
      <c r="C181" s="46">
        <v>6.9444444444444441E-3</v>
      </c>
      <c r="D181" s="16">
        <f t="shared" si="25"/>
        <v>10</v>
      </c>
      <c r="E181" s="16">
        <f t="shared" si="26"/>
        <v>0</v>
      </c>
      <c r="F181" s="16" t="s">
        <v>16</v>
      </c>
      <c r="G181" s="16" t="s">
        <v>22</v>
      </c>
      <c r="H181" s="16" t="str">
        <f>_xlfn.XLOOKUP(G181,'1-Players'!$A$2:$A$27,'1-Players'!$D$2:$D$27,"")</f>
        <v>Oriol Paulí</v>
      </c>
      <c r="I181" s="16" t="s">
        <v>81</v>
      </c>
      <c r="J181" s="19"/>
      <c r="K181" s="16" t="str" cm="1">
        <f t="array" ref="K181">IFERROR(_xlfn.IFS(I181="Free Throw",1,I181="2-Point Shot",2,I181="Dunk",2,I181="3-Point Shot",3),"")</f>
        <v/>
      </c>
      <c r="L181" s="16" t="str" cm="1">
        <f t="array" ref="L181">IFERROR(_xlfn.IFS(J181="Made",1,J181="Missed",0),"")</f>
        <v/>
      </c>
      <c r="M181" s="16" t="str">
        <f t="shared" si="13"/>
        <v/>
      </c>
      <c r="R181" s="16" t="str">
        <f t="shared" si="14"/>
        <v/>
      </c>
      <c r="S181" s="16" t="str" cm="1">
        <f t="array" ref="S181">IFERROR(_xlfn.IFS(I181="Offensive Rebound",1),"")</f>
        <v/>
      </c>
      <c r="T181" s="16" t="str" cm="1">
        <f t="array" ref="T181">IFERROR(_xlfn.IFS(I181="Defensive Rebound",1),"")</f>
        <v/>
      </c>
      <c r="U181" s="16" t="str" cm="1">
        <f t="array" ref="U181">IFERROR(_xlfn.IFS(I181="Assist",1),"")</f>
        <v/>
      </c>
      <c r="V181" s="16" t="str" cm="1">
        <f t="array" ref="V181">IFERROR(_xlfn.IFS(I181="Turnover",1),"")</f>
        <v/>
      </c>
      <c r="W181" s="16" t="str" cm="1">
        <f t="array" ref="W181">IFERROR(_xlfn.IFS(I181="Steal",1),"")</f>
        <v/>
      </c>
      <c r="X181" s="16" t="str" cm="1">
        <f t="array" ref="X181">IFERROR(_xlfn.IFS(I181="Block",1),"")</f>
        <v/>
      </c>
      <c r="Y181" s="16" t="str" cm="1">
        <f t="array" ref="Y181">IFERROR(_xlfn.IFS(I181="Block Received",1),"")</f>
        <v/>
      </c>
      <c r="Z181" s="16" t="str" cm="1">
        <f t="array" ref="Z181">IFERROR(_xlfn.IFS(I181="Foul",1,I181="Foul Technical",1,I181="Offensive Foul",1),"")</f>
        <v/>
      </c>
      <c r="AA181" s="16" t="str" cm="1">
        <f t="array" ref="AA181">IFERROR(_xlfn.IFS(I181="Foul Received",1),"")</f>
        <v/>
      </c>
      <c r="AB181" s="49" cm="1">
        <f t="array" ref="AB181">IFERROR(_xlfn.IFS(I181="Starting lineup",C181,I181="Substitution - In",C181),"")</f>
        <v>6.9444444444444441E-3</v>
      </c>
      <c r="AC181" s="46" t="str" cm="1">
        <f t="array" ref="AC181">IFERROR(_xlfn.IFS(I181="Finishing lineup",C181,I181="Substitution - Out",C181),"")</f>
        <v/>
      </c>
      <c r="AE181" s="50" t="str" cm="1">
        <f t="array" ref="AE181">IF(AC181&lt;&gt;"",LOOKUP(2,1/((G$2:G180=G181)*(AB$2:AB180&lt;&gt;"")),AB$2:AB180)-AC181,"")</f>
        <v/>
      </c>
    </row>
    <row r="182" spans="1:31" hidden="1" x14ac:dyDescent="0.35">
      <c r="A182" s="16">
        <v>2</v>
      </c>
      <c r="B182" s="19">
        <v>176</v>
      </c>
      <c r="C182" s="46">
        <v>6.9444444444444441E-3</v>
      </c>
      <c r="D182" s="16">
        <f t="shared" si="25"/>
        <v>10</v>
      </c>
      <c r="E182" s="16">
        <f t="shared" si="26"/>
        <v>0</v>
      </c>
      <c r="F182" s="16" t="s">
        <v>16</v>
      </c>
      <c r="G182" s="16" t="s">
        <v>39</v>
      </c>
      <c r="H182" s="16" t="str">
        <f>_xlfn.XLOOKUP(G182,'1-Players'!$A$2:$A$27,'1-Players'!$D$2:$D$27,"")</f>
        <v>Millán Jiménez</v>
      </c>
      <c r="I182" s="16" t="s">
        <v>81</v>
      </c>
      <c r="J182" s="10"/>
      <c r="K182" s="16" t="str" cm="1">
        <f t="array" ref="K182">IFERROR(_xlfn.IFS(I182="Free Throw",1,I182="2-Point Shot",2,I182="Dunk",2,I182="3-Point Shot",3),"")</f>
        <v/>
      </c>
      <c r="L182" s="16" t="str" cm="1">
        <f t="array" ref="L182">IFERROR(_xlfn.IFS(J182="Made",1,J182="Missed",0),"")</f>
        <v/>
      </c>
      <c r="M182" s="16" t="str">
        <f t="shared" si="13"/>
        <v/>
      </c>
      <c r="N182" s="5"/>
      <c r="R182" s="16" t="str">
        <f t="shared" si="14"/>
        <v/>
      </c>
      <c r="S182" s="16" t="str" cm="1">
        <f t="array" ref="S182">IFERROR(_xlfn.IFS(I182="Offensive Rebound",1),"")</f>
        <v/>
      </c>
      <c r="T182" s="16" t="str" cm="1">
        <f t="array" ref="T182">IFERROR(_xlfn.IFS(I182="Defensive Rebound",1),"")</f>
        <v/>
      </c>
      <c r="U182" s="16" t="str" cm="1">
        <f t="array" ref="U182">IFERROR(_xlfn.IFS(I182="Assist",1),"")</f>
        <v/>
      </c>
      <c r="V182" s="16" t="str" cm="1">
        <f t="array" ref="V182">IFERROR(_xlfn.IFS(I182="Turnover",1),"")</f>
        <v/>
      </c>
      <c r="W182" s="16" t="str" cm="1">
        <f t="array" ref="W182">IFERROR(_xlfn.IFS(I182="Steal",1),"")</f>
        <v/>
      </c>
      <c r="X182" s="16" t="str" cm="1">
        <f t="array" ref="X182">IFERROR(_xlfn.IFS(I182="Block",1),"")</f>
        <v/>
      </c>
      <c r="Y182" s="16" t="str" cm="1">
        <f t="array" ref="Y182">IFERROR(_xlfn.IFS(I182="Block Received",1),"")</f>
        <v/>
      </c>
      <c r="Z182" s="16" t="str" cm="1">
        <f t="array" ref="Z182">IFERROR(_xlfn.IFS(I182="Foul",1,I182="Foul Technical",1,I182="Offensive Foul",1),"")</f>
        <v/>
      </c>
      <c r="AA182" s="16" t="str" cm="1">
        <f t="array" ref="AA182">IFERROR(_xlfn.IFS(I182="Foul Received",1),"")</f>
        <v/>
      </c>
      <c r="AB182" s="49" cm="1">
        <f t="array" ref="AB182">IFERROR(_xlfn.IFS(I182="Starting lineup",C182,I182="Substitution - In",C182),"")</f>
        <v>6.9444444444444441E-3</v>
      </c>
      <c r="AC182" s="46" t="str" cm="1">
        <f t="array" ref="AC182">IFERROR(_xlfn.IFS(I182="Finishing lineup",C182,I182="Substitution - Out",C182),"")</f>
        <v/>
      </c>
      <c r="AE182" s="50" t="str" cm="1">
        <f t="array" ref="AE182">IF(AC182&lt;&gt;"",LOOKUP(2,1/((G$2:G181=G182)*(AB$2:AB181&lt;&gt;"")),AB$2:AB181)-AC182,"")</f>
        <v/>
      </c>
    </row>
    <row r="183" spans="1:31" hidden="1" x14ac:dyDescent="0.35">
      <c r="A183" s="16">
        <v>2</v>
      </c>
      <c r="B183" s="19">
        <v>177</v>
      </c>
      <c r="C183" s="46">
        <v>6.9444444444444441E-3</v>
      </c>
      <c r="D183" s="16">
        <f t="shared" si="25"/>
        <v>10</v>
      </c>
      <c r="E183" s="16">
        <f t="shared" si="26"/>
        <v>0</v>
      </c>
      <c r="F183" s="16" t="s">
        <v>16</v>
      </c>
      <c r="G183" s="16" t="s">
        <v>41</v>
      </c>
      <c r="H183" s="16" t="str">
        <f>_xlfn.XLOOKUP(G183,'1-Players'!$A$2:$A$27,'1-Players'!$D$2:$D$27,"")</f>
        <v>John Shurna</v>
      </c>
      <c r="I183" s="16" t="s">
        <v>81</v>
      </c>
      <c r="J183" s="10"/>
      <c r="K183" s="16" t="str" cm="1">
        <f t="array" ref="K183">IFERROR(_xlfn.IFS(I183="Free Throw",1,I183="2-Point Shot",2,I183="Dunk",2,I183="3-Point Shot",3),"")</f>
        <v/>
      </c>
      <c r="L183" s="16" t="str" cm="1">
        <f t="array" ref="L183">IFERROR(_xlfn.IFS(J183="Made",1,J183="Missed",0),"")</f>
        <v/>
      </c>
      <c r="M183" s="16" t="str">
        <f t="shared" si="13"/>
        <v/>
      </c>
      <c r="N183" s="5"/>
      <c r="R183" s="16" t="str">
        <f t="shared" si="14"/>
        <v/>
      </c>
      <c r="S183" s="16" t="str" cm="1">
        <f t="array" ref="S183">IFERROR(_xlfn.IFS(I183="Offensive Rebound",1),"")</f>
        <v/>
      </c>
      <c r="T183" s="16" t="str" cm="1">
        <f t="array" ref="T183">IFERROR(_xlfn.IFS(I183="Defensive Rebound",1),"")</f>
        <v/>
      </c>
      <c r="U183" s="16" t="str" cm="1">
        <f t="array" ref="U183">IFERROR(_xlfn.IFS(I183="Assist",1),"")</f>
        <v/>
      </c>
      <c r="V183" s="16" t="str" cm="1">
        <f t="array" ref="V183">IFERROR(_xlfn.IFS(I183="Turnover",1),"")</f>
        <v/>
      </c>
      <c r="W183" s="16" t="str" cm="1">
        <f t="array" ref="W183">IFERROR(_xlfn.IFS(I183="Steal",1),"")</f>
        <v/>
      </c>
      <c r="X183" s="16" t="str" cm="1">
        <f t="array" ref="X183">IFERROR(_xlfn.IFS(I183="Block",1),"")</f>
        <v/>
      </c>
      <c r="Y183" s="16" t="str" cm="1">
        <f t="array" ref="Y183">IFERROR(_xlfn.IFS(I183="Block Received",1),"")</f>
        <v/>
      </c>
      <c r="Z183" s="16" t="str" cm="1">
        <f t="array" ref="Z183">IFERROR(_xlfn.IFS(I183="Foul",1,I183="Foul Technical",1,I183="Offensive Foul",1),"")</f>
        <v/>
      </c>
      <c r="AA183" s="16" t="str" cm="1">
        <f t="array" ref="AA183">IFERROR(_xlfn.IFS(I183="Foul Received",1),"")</f>
        <v/>
      </c>
      <c r="AB183" s="49" cm="1">
        <f t="array" ref="AB183">IFERROR(_xlfn.IFS(I183="Starting lineup",C183,I183="Substitution - In",C183),"")</f>
        <v>6.9444444444444441E-3</v>
      </c>
      <c r="AC183" s="46" t="str" cm="1">
        <f t="array" ref="AC183">IFERROR(_xlfn.IFS(I183="Finishing lineup",C183,I183="Substitution - Out",C183),"")</f>
        <v/>
      </c>
      <c r="AE183" s="50" t="str" cm="1">
        <f t="array" ref="AE183">IF(AC183&lt;&gt;"",LOOKUP(2,1/((G$2:G182=G183)*(AB$2:AB182&lt;&gt;"")),AB$2:AB182)-AC183,"")</f>
        <v/>
      </c>
    </row>
    <row r="184" spans="1:31" hidden="1" x14ac:dyDescent="0.35">
      <c r="A184" s="16">
        <v>2</v>
      </c>
      <c r="B184" s="19">
        <v>178</v>
      </c>
      <c r="C184" s="46">
        <v>6.9444444444444441E-3</v>
      </c>
      <c r="D184" s="16">
        <f t="shared" si="25"/>
        <v>10</v>
      </c>
      <c r="E184" s="16">
        <f t="shared" si="26"/>
        <v>0</v>
      </c>
      <c r="F184" s="16" t="s">
        <v>16</v>
      </c>
      <c r="G184" s="16" t="s">
        <v>43</v>
      </c>
      <c r="H184" s="16" t="str">
        <f>_xlfn.XLOOKUP(G184,'1-Players'!$A$2:$A$27,'1-Players'!$D$2:$D$27,"")</f>
        <v>Cameron Krutwig</v>
      </c>
      <c r="I184" s="16" t="s">
        <v>81</v>
      </c>
      <c r="J184" s="10"/>
      <c r="K184" s="16" t="str" cm="1">
        <f t="array" ref="K184">IFERROR(_xlfn.IFS(I184="Free Throw",1,I184="2-Point Shot",2,I184="Dunk",2,I184="3-Point Shot",3),"")</f>
        <v/>
      </c>
      <c r="L184" s="16" t="str" cm="1">
        <f t="array" ref="L184">IFERROR(_xlfn.IFS(J184="Made",1,J184="Missed",0),"")</f>
        <v/>
      </c>
      <c r="M184" s="16" t="str">
        <f t="shared" si="13"/>
        <v/>
      </c>
      <c r="N184" s="5"/>
      <c r="R184" s="16" t="str">
        <f t="shared" si="14"/>
        <v/>
      </c>
      <c r="S184" s="16" t="str" cm="1">
        <f t="array" ref="S184">IFERROR(_xlfn.IFS(I184="Offensive Rebound",1),"")</f>
        <v/>
      </c>
      <c r="T184" s="16" t="str" cm="1">
        <f t="array" ref="T184">IFERROR(_xlfn.IFS(I184="Defensive Rebound",1),"")</f>
        <v/>
      </c>
      <c r="U184" s="16" t="str" cm="1">
        <f t="array" ref="U184">IFERROR(_xlfn.IFS(I184="Assist",1),"")</f>
        <v/>
      </c>
      <c r="V184" s="16" t="str" cm="1">
        <f t="array" ref="V184">IFERROR(_xlfn.IFS(I184="Turnover",1),"")</f>
        <v/>
      </c>
      <c r="W184" s="16" t="str" cm="1">
        <f t="array" ref="W184">IFERROR(_xlfn.IFS(I184="Steal",1),"")</f>
        <v/>
      </c>
      <c r="X184" s="16" t="str" cm="1">
        <f t="array" ref="X184">IFERROR(_xlfn.IFS(I184="Block",1),"")</f>
        <v/>
      </c>
      <c r="Y184" s="16" t="str" cm="1">
        <f t="array" ref="Y184">IFERROR(_xlfn.IFS(I184="Block Received",1),"")</f>
        <v/>
      </c>
      <c r="Z184" s="16" t="str" cm="1">
        <f t="array" ref="Z184">IFERROR(_xlfn.IFS(I184="Foul",1,I184="Foul Technical",1,I184="Offensive Foul",1),"")</f>
        <v/>
      </c>
      <c r="AA184" s="16" t="str" cm="1">
        <f t="array" ref="AA184">IFERROR(_xlfn.IFS(I184="Foul Received",1),"")</f>
        <v/>
      </c>
      <c r="AB184" s="49" cm="1">
        <f t="array" ref="AB184">IFERROR(_xlfn.IFS(I184="Starting lineup",C184,I184="Substitution - In",C184),"")</f>
        <v>6.9444444444444441E-3</v>
      </c>
      <c r="AC184" s="46" t="str" cm="1">
        <f t="array" ref="AC184">IFERROR(_xlfn.IFS(I184="Finishing lineup",C184,I184="Substitution - Out",C184),"")</f>
        <v/>
      </c>
      <c r="AE184" s="50" t="str" cm="1">
        <f t="array" ref="AE184">IF(AC184&lt;&gt;"",LOOKUP(2,1/((G$2:G183=G184)*(AB$2:AB183&lt;&gt;"")),AB$2:AB183)-AC184,"")</f>
        <v/>
      </c>
    </row>
    <row r="185" spans="1:31" hidden="1" x14ac:dyDescent="0.35">
      <c r="A185" s="16">
        <v>2</v>
      </c>
      <c r="B185" s="19">
        <v>179</v>
      </c>
      <c r="C185" s="46">
        <v>6.9444444444444441E-3</v>
      </c>
      <c r="D185" s="16">
        <f t="shared" si="25"/>
        <v>10</v>
      </c>
      <c r="E185" s="16">
        <f t="shared" si="26"/>
        <v>0</v>
      </c>
      <c r="F185" s="16" t="s">
        <v>46</v>
      </c>
      <c r="G185" s="16" t="s">
        <v>9</v>
      </c>
      <c r="H185" s="16" t="str">
        <f>_xlfn.XLOOKUP(G185,'1-Players'!$A$2:$A$27,'1-Players'!$D$2:$D$27,"")</f>
        <v>Agustín Ubal</v>
      </c>
      <c r="I185" s="16" t="s">
        <v>81</v>
      </c>
      <c r="J185" s="10"/>
      <c r="K185" s="16" t="str" cm="1">
        <f t="array" ref="K185">IFERROR(_xlfn.IFS(I185="Free Throw",1,I185="2-Point Shot",2,I185="Dunk",2,I185="3-Point Shot",3),"")</f>
        <v/>
      </c>
      <c r="L185" s="16" t="str" cm="1">
        <f t="array" ref="L185">IFERROR(_xlfn.IFS(J185="Made",1,J185="Missed",0),"")</f>
        <v/>
      </c>
      <c r="M185" s="16" t="str">
        <f t="shared" si="13"/>
        <v/>
      </c>
      <c r="N185" s="5"/>
      <c r="R185" s="16" t="str">
        <f t="shared" si="14"/>
        <v/>
      </c>
      <c r="S185" s="16" t="str" cm="1">
        <f t="array" ref="S185">IFERROR(_xlfn.IFS(I185="Offensive Rebound",1),"")</f>
        <v/>
      </c>
      <c r="T185" s="16" t="str" cm="1">
        <f t="array" ref="T185">IFERROR(_xlfn.IFS(I185="Defensive Rebound",1),"")</f>
        <v/>
      </c>
      <c r="U185" s="16" t="str" cm="1">
        <f t="array" ref="U185">IFERROR(_xlfn.IFS(I185="Assist",1),"")</f>
        <v/>
      </c>
      <c r="V185" s="16" t="str" cm="1">
        <f t="array" ref="V185">IFERROR(_xlfn.IFS(I185="Turnover",1),"")</f>
        <v/>
      </c>
      <c r="W185" s="16" t="str" cm="1">
        <f t="array" ref="W185">IFERROR(_xlfn.IFS(I185="Steal",1),"")</f>
        <v/>
      </c>
      <c r="X185" s="16" t="str" cm="1">
        <f t="array" ref="X185">IFERROR(_xlfn.IFS(I185="Block",1),"")</f>
        <v/>
      </c>
      <c r="Y185" s="16" t="str" cm="1">
        <f t="array" ref="Y185">IFERROR(_xlfn.IFS(I185="Block Received",1),"")</f>
        <v/>
      </c>
      <c r="Z185" s="16" t="str" cm="1">
        <f t="array" ref="Z185">IFERROR(_xlfn.IFS(I185="Foul",1,I185="Foul Technical",1,I185="Offensive Foul",1),"")</f>
        <v/>
      </c>
      <c r="AA185" s="16" t="str" cm="1">
        <f t="array" ref="AA185">IFERROR(_xlfn.IFS(I185="Foul Received",1),"")</f>
        <v/>
      </c>
      <c r="AB185" s="49" cm="1">
        <f t="array" ref="AB185">IFERROR(_xlfn.IFS(I185="Starting lineup",C185,I185="Substitution - In",C185),"")</f>
        <v>6.9444444444444441E-3</v>
      </c>
      <c r="AC185" s="46" t="str" cm="1">
        <f t="array" ref="AC185">IFERROR(_xlfn.IFS(I185="Finishing lineup",C185,I185="Substitution - Out",C185),"")</f>
        <v/>
      </c>
      <c r="AE185" s="50" t="str" cm="1">
        <f t="array" ref="AE185">IF(AC185&lt;&gt;"",LOOKUP(2,1/((G$2:G184=G185)*(AB$2:AB184&lt;&gt;"")),AB$2:AB184)-AC185,"")</f>
        <v/>
      </c>
    </row>
    <row r="186" spans="1:31" hidden="1" x14ac:dyDescent="0.35">
      <c r="A186" s="16">
        <v>2</v>
      </c>
      <c r="B186" s="19">
        <v>180</v>
      </c>
      <c r="C186" s="46">
        <v>6.9444444444444441E-3</v>
      </c>
      <c r="D186" s="16">
        <f t="shared" si="25"/>
        <v>10</v>
      </c>
      <c r="E186" s="16">
        <f t="shared" si="26"/>
        <v>0</v>
      </c>
      <c r="F186" s="16" t="s">
        <v>46</v>
      </c>
      <c r="G186" s="16" t="s">
        <v>11</v>
      </c>
      <c r="H186" s="16" t="str">
        <f>_xlfn.XLOOKUP(G186,'1-Players'!$A$2:$A$27,'1-Players'!$D$2:$D$27,"")</f>
        <v>Marcis Steinbergs</v>
      </c>
      <c r="I186" s="16" t="s">
        <v>81</v>
      </c>
      <c r="J186" s="10"/>
      <c r="K186" s="16" t="str" cm="1">
        <f t="array" ref="K186">IFERROR(_xlfn.IFS(I186="Free Throw",1,I186="2-Point Shot",2,I186="Dunk",2,I186="3-Point Shot",3),"")</f>
        <v/>
      </c>
      <c r="L186" s="16" t="str" cm="1">
        <f t="array" ref="L186">IFERROR(_xlfn.IFS(J186="Made",1,J186="Missed",0),"")</f>
        <v/>
      </c>
      <c r="M186" s="16" t="str">
        <f t="shared" si="13"/>
        <v/>
      </c>
      <c r="N186" s="5"/>
      <c r="R186" s="16" t="str">
        <f t="shared" si="14"/>
        <v/>
      </c>
      <c r="S186" s="16" t="str" cm="1">
        <f t="array" ref="S186">IFERROR(_xlfn.IFS(I186="Offensive Rebound",1),"")</f>
        <v/>
      </c>
      <c r="T186" s="16" t="str" cm="1">
        <f t="array" ref="T186">IFERROR(_xlfn.IFS(I186="Defensive Rebound",1),"")</f>
        <v/>
      </c>
      <c r="U186" s="16" t="str" cm="1">
        <f t="array" ref="U186">IFERROR(_xlfn.IFS(I186="Assist",1),"")</f>
        <v/>
      </c>
      <c r="V186" s="16" t="str" cm="1">
        <f t="array" ref="V186">IFERROR(_xlfn.IFS(I186="Turnover",1),"")</f>
        <v/>
      </c>
      <c r="W186" s="16" t="str" cm="1">
        <f t="array" ref="W186">IFERROR(_xlfn.IFS(I186="Steal",1),"")</f>
        <v/>
      </c>
      <c r="X186" s="16" t="str" cm="1">
        <f t="array" ref="X186">IFERROR(_xlfn.IFS(I186="Block",1),"")</f>
        <v/>
      </c>
      <c r="Y186" s="16" t="str" cm="1">
        <f t="array" ref="Y186">IFERROR(_xlfn.IFS(I186="Block Received",1),"")</f>
        <v/>
      </c>
      <c r="Z186" s="16" t="str" cm="1">
        <f t="array" ref="Z186">IFERROR(_xlfn.IFS(I186="Foul",1,I186="Foul Technical",1,I186="Offensive Foul",1),"")</f>
        <v/>
      </c>
      <c r="AA186" s="16" t="str" cm="1">
        <f t="array" ref="AA186">IFERROR(_xlfn.IFS(I186="Foul Received",1),"")</f>
        <v/>
      </c>
      <c r="AB186" s="49" cm="1">
        <f t="array" ref="AB186">IFERROR(_xlfn.IFS(I186="Starting lineup",C186,I186="Substitution - In",C186),"")</f>
        <v>6.9444444444444441E-3</v>
      </c>
      <c r="AC186" s="46" t="str" cm="1">
        <f t="array" ref="AC186">IFERROR(_xlfn.IFS(I186="Finishing lineup",C186,I186="Substitution - Out",C186),"")</f>
        <v/>
      </c>
      <c r="AE186" s="50" t="str" cm="1">
        <f t="array" ref="AE186">IF(AC186&lt;&gt;"",LOOKUP(2,1/((G$2:G185=G186)*(AB$2:AB185&lt;&gt;"")),AB$2:AB185)-AC186,"")</f>
        <v/>
      </c>
    </row>
    <row r="187" spans="1:31" hidden="1" x14ac:dyDescent="0.35">
      <c r="A187" s="16">
        <v>2</v>
      </c>
      <c r="B187" s="19">
        <v>181</v>
      </c>
      <c r="C187" s="46">
        <v>6.9444444444444441E-3</v>
      </c>
      <c r="D187" s="16">
        <f t="shared" si="25"/>
        <v>10</v>
      </c>
      <c r="E187" s="16">
        <f t="shared" si="26"/>
        <v>0</v>
      </c>
      <c r="F187" s="16" t="s">
        <v>46</v>
      </c>
      <c r="G187" s="16" t="s">
        <v>35</v>
      </c>
      <c r="H187" s="16" t="str">
        <f>_xlfn.XLOOKUP(G187,'1-Players'!$A$2:$A$27,'1-Players'!$D$2:$D$27,"")</f>
        <v>Grant Golden</v>
      </c>
      <c r="I187" s="16" t="s">
        <v>81</v>
      </c>
      <c r="J187" s="10"/>
      <c r="K187" s="16" t="str" cm="1">
        <f t="array" ref="K187">IFERROR(_xlfn.IFS(I187="Free Throw",1,I187="2-Point Shot",2,I187="Dunk",2,I187="3-Point Shot",3),"")</f>
        <v/>
      </c>
      <c r="L187" s="16" t="str" cm="1">
        <f t="array" ref="L187">IFERROR(_xlfn.IFS(J187="Made",1,J187="Missed",0),"")</f>
        <v/>
      </c>
      <c r="M187" s="16" t="str">
        <f t="shared" si="13"/>
        <v/>
      </c>
      <c r="N187" s="5"/>
      <c r="R187" s="16" t="str">
        <f t="shared" si="14"/>
        <v/>
      </c>
      <c r="S187" s="16" t="str" cm="1">
        <f t="array" ref="S187">IFERROR(_xlfn.IFS(I187="Offensive Rebound",1),"")</f>
        <v/>
      </c>
      <c r="T187" s="16" t="str" cm="1">
        <f t="array" ref="T187">IFERROR(_xlfn.IFS(I187="Defensive Rebound",1),"")</f>
        <v/>
      </c>
      <c r="U187" s="16" t="str" cm="1">
        <f t="array" ref="U187">IFERROR(_xlfn.IFS(I187="Assist",1),"")</f>
        <v/>
      </c>
      <c r="V187" s="16" t="str" cm="1">
        <f t="array" ref="V187">IFERROR(_xlfn.IFS(I187="Turnover",1),"")</f>
        <v/>
      </c>
      <c r="W187" s="16" t="str" cm="1">
        <f t="array" ref="W187">IFERROR(_xlfn.IFS(I187="Steal",1),"")</f>
        <v/>
      </c>
      <c r="X187" s="16" t="str" cm="1">
        <f t="array" ref="X187">IFERROR(_xlfn.IFS(I187="Block",1),"")</f>
        <v/>
      </c>
      <c r="Y187" s="16" t="str" cm="1">
        <f t="array" ref="Y187">IFERROR(_xlfn.IFS(I187="Block Received",1),"")</f>
        <v/>
      </c>
      <c r="Z187" s="16" t="str" cm="1">
        <f t="array" ref="Z187">IFERROR(_xlfn.IFS(I187="Foul",1,I187="Foul Technical",1,I187="Offensive Foul",1),"")</f>
        <v/>
      </c>
      <c r="AA187" s="16" t="str" cm="1">
        <f t="array" ref="AA187">IFERROR(_xlfn.IFS(I187="Foul Received",1),"")</f>
        <v/>
      </c>
      <c r="AB187" s="49" cm="1">
        <f t="array" ref="AB187">IFERROR(_xlfn.IFS(I187="Starting lineup",C187,I187="Substitution - In",C187),"")</f>
        <v>6.9444444444444441E-3</v>
      </c>
      <c r="AC187" s="46" t="str" cm="1">
        <f t="array" ref="AC187">IFERROR(_xlfn.IFS(I187="Finishing lineup",C187,I187="Substitution - Out",C187),"")</f>
        <v/>
      </c>
      <c r="AE187" s="50" t="str" cm="1">
        <f t="array" ref="AE187">IF(AC187&lt;&gt;"",LOOKUP(2,1/((G$2:G186=G187)*(AB$2:AB186&lt;&gt;"")),AB$2:AB186)-AC187,"")</f>
        <v/>
      </c>
    </row>
    <row r="188" spans="1:31" hidden="1" x14ac:dyDescent="0.35">
      <c r="A188" s="16">
        <v>2</v>
      </c>
      <c r="B188" s="19">
        <v>182</v>
      </c>
      <c r="C188" s="46">
        <v>6.9444444444444441E-3</v>
      </c>
      <c r="D188" s="16">
        <f t="shared" si="25"/>
        <v>10</v>
      </c>
      <c r="E188" s="16">
        <f t="shared" si="26"/>
        <v>0</v>
      </c>
      <c r="F188" s="16" t="s">
        <v>46</v>
      </c>
      <c r="G188" s="16" t="s">
        <v>68</v>
      </c>
      <c r="H188" s="16" t="str">
        <f>_xlfn.XLOOKUP(G188,'1-Players'!$A$2:$A$27,'1-Players'!$D$2:$D$27,"")</f>
        <v>Dani Pérez</v>
      </c>
      <c r="I188" s="16" t="s">
        <v>81</v>
      </c>
      <c r="J188" s="10"/>
      <c r="K188" s="16" t="str" cm="1">
        <f t="array" ref="K188">IFERROR(_xlfn.IFS(I188="Free Throw",1,I188="2-Point Shot",2,I188="Dunk",2,I188="3-Point Shot",3),"")</f>
        <v/>
      </c>
      <c r="L188" s="16" t="str" cm="1">
        <f t="array" ref="L188">IFERROR(_xlfn.IFS(J188="Made",1,J188="Missed",0),"")</f>
        <v/>
      </c>
      <c r="M188" s="16" t="str">
        <f t="shared" si="13"/>
        <v/>
      </c>
      <c r="N188" s="5"/>
      <c r="R188" s="16" t="str">
        <f t="shared" si="14"/>
        <v/>
      </c>
      <c r="S188" s="16" t="str" cm="1">
        <f t="array" ref="S188">IFERROR(_xlfn.IFS(I188="Offensive Rebound",1),"")</f>
        <v/>
      </c>
      <c r="T188" s="16" t="str" cm="1">
        <f t="array" ref="T188">IFERROR(_xlfn.IFS(I188="Defensive Rebound",1),"")</f>
        <v/>
      </c>
      <c r="U188" s="16" t="str" cm="1">
        <f t="array" ref="U188">IFERROR(_xlfn.IFS(I188="Assist",1),"")</f>
        <v/>
      </c>
      <c r="V188" s="16" t="str" cm="1">
        <f t="array" ref="V188">IFERROR(_xlfn.IFS(I188="Turnover",1),"")</f>
        <v/>
      </c>
      <c r="W188" s="16" t="str" cm="1">
        <f t="array" ref="W188">IFERROR(_xlfn.IFS(I188="Steal",1),"")</f>
        <v/>
      </c>
      <c r="X188" s="16" t="str" cm="1">
        <f t="array" ref="X188">IFERROR(_xlfn.IFS(I188="Block",1),"")</f>
        <v/>
      </c>
      <c r="Y188" s="16" t="str" cm="1">
        <f t="array" ref="Y188">IFERROR(_xlfn.IFS(I188="Block Received",1),"")</f>
        <v/>
      </c>
      <c r="Z188" s="16" t="str" cm="1">
        <f t="array" ref="Z188">IFERROR(_xlfn.IFS(I188="Foul",1,I188="Foul Technical",1,I188="Offensive Foul",1),"")</f>
        <v/>
      </c>
      <c r="AA188" s="16" t="str" cm="1">
        <f t="array" ref="AA188">IFERROR(_xlfn.IFS(I188="Foul Received",1),"")</f>
        <v/>
      </c>
      <c r="AB188" s="49" cm="1">
        <f t="array" ref="AB188">IFERROR(_xlfn.IFS(I188="Starting lineup",C188,I188="Substitution - In",C188),"")</f>
        <v>6.9444444444444441E-3</v>
      </c>
      <c r="AC188" s="46" t="str" cm="1">
        <f t="array" ref="AC188">IFERROR(_xlfn.IFS(I188="Finishing lineup",C188,I188="Substitution - Out",C188),"")</f>
        <v/>
      </c>
      <c r="AE188" s="50" t="str" cm="1">
        <f t="array" ref="AE188">IF(AC188&lt;&gt;"",LOOKUP(2,1/((G$2:G187=G188)*(AB$2:AB187&lt;&gt;"")),AB$2:AB187)-AC188,"")</f>
        <v/>
      </c>
    </row>
    <row r="189" spans="1:31" hidden="1" x14ac:dyDescent="0.35">
      <c r="A189" s="16">
        <v>2</v>
      </c>
      <c r="B189" s="19">
        <v>183</v>
      </c>
      <c r="C189" s="46">
        <v>6.9444444444444441E-3</v>
      </c>
      <c r="D189" s="16">
        <f t="shared" si="25"/>
        <v>10</v>
      </c>
      <c r="E189" s="16">
        <f t="shared" si="26"/>
        <v>0</v>
      </c>
      <c r="F189" s="16" t="s">
        <v>46</v>
      </c>
      <c r="G189" s="16" t="s">
        <v>69</v>
      </c>
      <c r="H189" s="16" t="str">
        <f>_xlfn.XLOOKUP(G189,'1-Players'!$A$2:$A$27,'1-Players'!$D$2:$D$27,"")</f>
        <v>Alfonso Plummer</v>
      </c>
      <c r="I189" s="16" t="s">
        <v>81</v>
      </c>
      <c r="J189" s="10"/>
      <c r="K189" s="16" t="str" cm="1">
        <f t="array" ref="K189">IFERROR(_xlfn.IFS(I189="Free Throw",1,I189="2-Point Shot",2,I189="Dunk",2,I189="3-Point Shot",3),"")</f>
        <v/>
      </c>
      <c r="L189" s="16" t="str" cm="1">
        <f t="array" ref="L189">IFERROR(_xlfn.IFS(J189="Made",1,J189="Missed",0),"")</f>
        <v/>
      </c>
      <c r="M189" s="16" t="str">
        <f t="shared" si="13"/>
        <v/>
      </c>
      <c r="N189" s="5"/>
      <c r="R189" s="16" t="str">
        <f t="shared" si="14"/>
        <v/>
      </c>
      <c r="S189" s="16" t="str" cm="1">
        <f t="array" ref="S189">IFERROR(_xlfn.IFS(I189="Offensive Rebound",1),"")</f>
        <v/>
      </c>
      <c r="T189" s="16" t="str" cm="1">
        <f t="array" ref="T189">IFERROR(_xlfn.IFS(I189="Defensive Rebound",1),"")</f>
        <v/>
      </c>
      <c r="U189" s="16" t="str" cm="1">
        <f t="array" ref="U189">IFERROR(_xlfn.IFS(I189="Assist",1),"")</f>
        <v/>
      </c>
      <c r="V189" s="16" t="str" cm="1">
        <f t="array" ref="V189">IFERROR(_xlfn.IFS(I189="Turnover",1),"")</f>
        <v/>
      </c>
      <c r="W189" s="16" t="str" cm="1">
        <f t="array" ref="W189">IFERROR(_xlfn.IFS(I189="Steal",1),"")</f>
        <v/>
      </c>
      <c r="X189" s="16" t="str" cm="1">
        <f t="array" ref="X189">IFERROR(_xlfn.IFS(I189="Block",1),"")</f>
        <v/>
      </c>
      <c r="Y189" s="16" t="str" cm="1">
        <f t="array" ref="Y189">IFERROR(_xlfn.IFS(I189="Block Received",1),"")</f>
        <v/>
      </c>
      <c r="Z189" s="16" t="str" cm="1">
        <f t="array" ref="Z189">IFERROR(_xlfn.IFS(I189="Foul",1,I189="Foul Technical",1,I189="Offensive Foul",1),"")</f>
        <v/>
      </c>
      <c r="AA189" s="16" t="str" cm="1">
        <f t="array" ref="AA189">IFERROR(_xlfn.IFS(I189="Foul Received",1),"")</f>
        <v/>
      </c>
      <c r="AB189" s="49" cm="1">
        <f t="array" ref="AB189">IFERROR(_xlfn.IFS(I189="Starting lineup",C189,I189="Substitution - In",C189),"")</f>
        <v>6.9444444444444441E-3</v>
      </c>
      <c r="AC189" s="46" t="str" cm="1">
        <f t="array" ref="AC189">IFERROR(_xlfn.IFS(I189="Finishing lineup",C189,I189="Substitution - Out",C189),"")</f>
        <v/>
      </c>
      <c r="AE189" s="50" t="str" cm="1">
        <f t="array" ref="AE189">IF(AC189&lt;&gt;"",LOOKUP(2,1/((G$2:G188=G189)*(AB$2:AB188&lt;&gt;"")),AB$2:AB188)-AC189,"")</f>
        <v/>
      </c>
    </row>
    <row r="190" spans="1:31" hidden="1" x14ac:dyDescent="0.35">
      <c r="A190" s="16">
        <v>2</v>
      </c>
      <c r="B190" s="19">
        <v>184</v>
      </c>
      <c r="C190" s="46">
        <v>6.828703703703704E-3</v>
      </c>
      <c r="D190" s="16">
        <f t="shared" si="25"/>
        <v>9</v>
      </c>
      <c r="E190" s="16">
        <f t="shared" si="26"/>
        <v>50</v>
      </c>
      <c r="F190" s="19" t="s">
        <v>46</v>
      </c>
      <c r="G190" s="16" t="s">
        <v>68</v>
      </c>
      <c r="H190" s="16" t="str">
        <f>_xlfn.XLOOKUP(G190,'1-Players'!$A$2:$A$27,'1-Players'!$D$2:$D$27,"")</f>
        <v>Dani Pérez</v>
      </c>
      <c r="I190" s="19" t="s">
        <v>83</v>
      </c>
      <c r="J190" s="19" t="s">
        <v>60</v>
      </c>
      <c r="K190" s="16" cm="1">
        <f t="array" ref="K190">IFERROR(_xlfn.IFS(I190="Free Throw",1,I190="2-Point Shot",2,I190="Dunk",2,I190="3-Point Shot",3),"")</f>
        <v>3</v>
      </c>
      <c r="L190" s="16" cm="1">
        <f t="array" ref="L190">IFERROR(_xlfn.IFS(J190="Made",1,J190="Missed",0),"")</f>
        <v>1</v>
      </c>
      <c r="M190" s="16">
        <f t="shared" si="13"/>
        <v>3</v>
      </c>
      <c r="N190" s="5"/>
      <c r="R190" s="16" t="str">
        <f t="shared" si="14"/>
        <v>N</v>
      </c>
      <c r="S190" s="16" t="str" cm="1">
        <f t="array" ref="S190">IFERROR(_xlfn.IFS(I190="Offensive Rebound",1),"")</f>
        <v/>
      </c>
      <c r="T190" s="16" t="str" cm="1">
        <f t="array" ref="T190">IFERROR(_xlfn.IFS(I190="Defensive Rebound",1),"")</f>
        <v/>
      </c>
      <c r="U190" s="16" t="str" cm="1">
        <f t="array" ref="U190">IFERROR(_xlfn.IFS(I190="Assist",1),"")</f>
        <v/>
      </c>
      <c r="V190" s="16" t="str" cm="1">
        <f t="array" ref="V190">IFERROR(_xlfn.IFS(I190="Turnover",1),"")</f>
        <v/>
      </c>
      <c r="W190" s="16" t="str" cm="1">
        <f t="array" ref="W190">IFERROR(_xlfn.IFS(I190="Steal",1),"")</f>
        <v/>
      </c>
      <c r="X190" s="16" t="str" cm="1">
        <f t="array" ref="X190">IFERROR(_xlfn.IFS(I190="Block",1),"")</f>
        <v/>
      </c>
      <c r="Y190" s="16" t="str" cm="1">
        <f t="array" ref="Y190">IFERROR(_xlfn.IFS(I190="Block Received",1),"")</f>
        <v/>
      </c>
      <c r="Z190" s="16" t="str" cm="1">
        <f t="array" ref="Z190">IFERROR(_xlfn.IFS(I190="Foul",1,I190="Foul Technical",1,I190="Offensive Foul",1),"")</f>
        <v/>
      </c>
      <c r="AA190" s="16" t="str" cm="1">
        <f t="array" ref="AA190">IFERROR(_xlfn.IFS(I190="Foul Received",1),"")</f>
        <v/>
      </c>
      <c r="AB190" s="49" t="str" cm="1">
        <f t="array" ref="AB190">IFERROR(_xlfn.IFS(I190="Starting lineup",C190,I190="Substitution - In",C190),"")</f>
        <v/>
      </c>
      <c r="AC190" s="46" t="str" cm="1">
        <f t="array" ref="AC190">IFERROR(_xlfn.IFS(I190="Finishing lineup",C190,I190="Substitution - Out",C190),"")</f>
        <v/>
      </c>
      <c r="AE190" s="50" t="str" cm="1">
        <f t="array" ref="AE190">IF(AC190&lt;&gt;"",LOOKUP(2,1/((G$2:G189=G190)*(AB$2:AB189&lt;&gt;"")),AB$2:AB189)-AC190,"")</f>
        <v/>
      </c>
    </row>
    <row r="191" spans="1:31" hidden="1" x14ac:dyDescent="0.35">
      <c r="A191" s="16">
        <v>2</v>
      </c>
      <c r="B191" s="19">
        <v>185</v>
      </c>
      <c r="C191" s="46">
        <v>0</v>
      </c>
      <c r="D191" s="16">
        <f t="shared" si="25"/>
        <v>0</v>
      </c>
      <c r="E191" s="16">
        <f t="shared" si="26"/>
        <v>0</v>
      </c>
      <c r="F191" s="19" t="s">
        <v>16</v>
      </c>
      <c r="G191" s="16" t="s">
        <v>18</v>
      </c>
      <c r="H191" s="16" t="str">
        <f>_xlfn.XLOOKUP(G191,'1-Players'!$A$2:$A$27,'1-Players'!$D$2:$D$27,"")</f>
        <v>Corey Walden</v>
      </c>
      <c r="I191" s="16" t="s">
        <v>137</v>
      </c>
      <c r="J191" s="10"/>
      <c r="K191" s="16" t="str" cm="1">
        <f t="array" ref="K191">IFERROR(_xlfn.IFS(I191="Free Throw",1,I191="2-Point Shot",2,I191="Dunk",2,I191="3-Point Shot",3),"")</f>
        <v/>
      </c>
      <c r="L191" s="16" t="str" cm="1">
        <f t="array" ref="L191">IFERROR(_xlfn.IFS(J191="Made",1,J191="Missed",0),"")</f>
        <v/>
      </c>
      <c r="M191" s="16" t="str">
        <f t="shared" si="13"/>
        <v/>
      </c>
      <c r="N191" s="5"/>
      <c r="R191" s="16" t="str">
        <f t="shared" si="14"/>
        <v/>
      </c>
      <c r="S191" s="16" t="str" cm="1">
        <f t="array" ref="S191">IFERROR(_xlfn.IFS(I191="Offensive Rebound",1),"")</f>
        <v/>
      </c>
      <c r="T191" s="16" t="str" cm="1">
        <f t="array" ref="T191">IFERROR(_xlfn.IFS(I191="Defensive Rebound",1),"")</f>
        <v/>
      </c>
      <c r="U191" s="16" t="str" cm="1">
        <f t="array" ref="U191">IFERROR(_xlfn.IFS(I191="Assist",1),"")</f>
        <v/>
      </c>
      <c r="V191" s="16" t="str" cm="1">
        <f t="array" ref="V191">IFERROR(_xlfn.IFS(I191="Turnover",1),"")</f>
        <v/>
      </c>
      <c r="W191" s="16" t="str" cm="1">
        <f t="array" ref="W191">IFERROR(_xlfn.IFS(I191="Steal",1),"")</f>
        <v/>
      </c>
      <c r="X191" s="16" t="str" cm="1">
        <f t="array" ref="X191">IFERROR(_xlfn.IFS(I191="Block",1),"")</f>
        <v/>
      </c>
      <c r="Y191" s="16" t="str" cm="1">
        <f t="array" ref="Y191">IFERROR(_xlfn.IFS(I191="Block Received",1),"")</f>
        <v/>
      </c>
      <c r="Z191" s="16" t="str" cm="1">
        <f t="array" ref="Z191">IFERROR(_xlfn.IFS(I191="Foul",1,I191="Foul Technical",1,I191="Offensive Foul",1),"")</f>
        <v/>
      </c>
      <c r="AA191" s="16" t="str" cm="1">
        <f t="array" ref="AA191">IFERROR(_xlfn.IFS(I191="Foul Received",1),"")</f>
        <v/>
      </c>
      <c r="AB191" s="49" t="str" cm="1">
        <f t="array" ref="AB191">IFERROR(_xlfn.IFS(I191="Starting lineup",C191,I191="Substitution - In",C191),"")</f>
        <v/>
      </c>
      <c r="AC191" s="46" cm="1">
        <f t="array" ref="AC191">IFERROR(_xlfn.IFS(I191="Finishing lineup",C191,I191="Substitution - Out",C191),"")</f>
        <v>0</v>
      </c>
      <c r="AE191" s="50" cm="1">
        <f t="array" ref="AE191">IF(AC191&lt;&gt;"",LOOKUP(2,1/((G$2:G190=G191)*(AB$2:AB190&lt;&gt;"")),AB$2:AB190)-AC191,"")</f>
        <v>6.9444444444444441E-3</v>
      </c>
    </row>
    <row r="192" spans="1:31" hidden="1" x14ac:dyDescent="0.35">
      <c r="A192" s="16">
        <v>2</v>
      </c>
      <c r="B192" s="19">
        <v>186</v>
      </c>
      <c r="C192" s="46">
        <v>0</v>
      </c>
      <c r="D192" s="16">
        <f t="shared" si="25"/>
        <v>0</v>
      </c>
      <c r="E192" s="16">
        <f t="shared" si="26"/>
        <v>0</v>
      </c>
      <c r="F192" s="16" t="s">
        <v>16</v>
      </c>
      <c r="G192" s="16" t="s">
        <v>22</v>
      </c>
      <c r="H192" s="16" t="str">
        <f>_xlfn.XLOOKUP(G192,'1-Players'!$A$2:$A$27,'1-Players'!$D$2:$D$27,"")</f>
        <v>Oriol Paulí</v>
      </c>
      <c r="I192" s="16" t="s">
        <v>137</v>
      </c>
      <c r="J192" s="10"/>
      <c r="K192" s="16" t="str" cm="1">
        <f t="array" ref="K192">IFERROR(_xlfn.IFS(I192="Free Throw",1,I192="2-Point Shot",2,I192="Dunk",2,I192="3-Point Shot",3),"")</f>
        <v/>
      </c>
      <c r="L192" s="16" t="str" cm="1">
        <f t="array" ref="L192">IFERROR(_xlfn.IFS(J192="Made",1,J192="Missed",0),"")</f>
        <v/>
      </c>
      <c r="M192" s="16" t="str">
        <f t="shared" si="13"/>
        <v/>
      </c>
      <c r="N192" s="5"/>
      <c r="R192" s="16" t="str">
        <f t="shared" si="14"/>
        <v/>
      </c>
      <c r="S192" s="16" t="str" cm="1">
        <f t="array" ref="S192">IFERROR(_xlfn.IFS(I192="Offensive Rebound",1),"")</f>
        <v/>
      </c>
      <c r="T192" s="16" t="str" cm="1">
        <f t="array" ref="T192">IFERROR(_xlfn.IFS(I192="Defensive Rebound",1),"")</f>
        <v/>
      </c>
      <c r="U192" s="16" t="str" cm="1">
        <f t="array" ref="U192">IFERROR(_xlfn.IFS(I192="Assist",1),"")</f>
        <v/>
      </c>
      <c r="V192" s="16" t="str" cm="1">
        <f t="array" ref="V192">IFERROR(_xlfn.IFS(I192="Turnover",1),"")</f>
        <v/>
      </c>
      <c r="W192" s="16" t="str" cm="1">
        <f t="array" ref="W192">IFERROR(_xlfn.IFS(I192="Steal",1),"")</f>
        <v/>
      </c>
      <c r="X192" s="16" t="str" cm="1">
        <f t="array" ref="X192">IFERROR(_xlfn.IFS(I192="Block",1),"")</f>
        <v/>
      </c>
      <c r="Y192" s="16" t="str" cm="1">
        <f t="array" ref="Y192">IFERROR(_xlfn.IFS(I192="Block Received",1),"")</f>
        <v/>
      </c>
      <c r="Z192" s="16" t="str" cm="1">
        <f t="array" ref="Z192">IFERROR(_xlfn.IFS(I192="Foul",1,I192="Foul Technical",1,I192="Offensive Foul",1),"")</f>
        <v/>
      </c>
      <c r="AA192" s="16" t="str" cm="1">
        <f t="array" ref="AA192">IFERROR(_xlfn.IFS(I192="Foul Received",1),"")</f>
        <v/>
      </c>
      <c r="AB192" s="49" t="str" cm="1">
        <f t="array" ref="AB192">IFERROR(_xlfn.IFS(I192="Starting lineup",C192,I192="Substitution - In",C192),"")</f>
        <v/>
      </c>
      <c r="AC192" s="46" cm="1">
        <f t="array" ref="AC192">IFERROR(_xlfn.IFS(I192="Finishing lineup",C192,I192="Substitution - Out",C192),"")</f>
        <v>0</v>
      </c>
      <c r="AE192" s="50" cm="1">
        <f t="array" ref="AE192">IF(AC192&lt;&gt;"",LOOKUP(2,1/((G$2:G191=G192)*(AB$2:AB191&lt;&gt;"")),AB$2:AB191)-AC192,"")</f>
        <v>6.9444444444444441E-3</v>
      </c>
    </row>
    <row r="193" spans="1:31" hidden="1" x14ac:dyDescent="0.35">
      <c r="A193" s="16">
        <v>2</v>
      </c>
      <c r="B193" s="19">
        <v>187</v>
      </c>
      <c r="C193" s="46">
        <v>0</v>
      </c>
      <c r="D193" s="16">
        <f t="shared" si="25"/>
        <v>0</v>
      </c>
      <c r="E193" s="16">
        <f t="shared" si="26"/>
        <v>0</v>
      </c>
      <c r="F193" s="16" t="s">
        <v>16</v>
      </c>
      <c r="G193" s="16" t="s">
        <v>39</v>
      </c>
      <c r="H193" s="16" t="str">
        <f>_xlfn.XLOOKUP(G193,'1-Players'!$A$2:$A$27,'1-Players'!$D$2:$D$27,"")</f>
        <v>Millán Jiménez</v>
      </c>
      <c r="I193" s="16" t="s">
        <v>137</v>
      </c>
      <c r="J193" s="10"/>
      <c r="K193" s="16" t="str" cm="1">
        <f t="array" ref="K193">IFERROR(_xlfn.IFS(I193="Free Throw",1,I193="2-Point Shot",2,I193="Dunk",2,I193="3-Point Shot",3),"")</f>
        <v/>
      </c>
      <c r="L193" s="16" t="str" cm="1">
        <f t="array" ref="L193">IFERROR(_xlfn.IFS(J193="Made",1,J193="Missed",0),"")</f>
        <v/>
      </c>
      <c r="M193" s="16" t="str">
        <f t="shared" si="13"/>
        <v/>
      </c>
      <c r="N193" s="5"/>
      <c r="R193" s="16" t="str">
        <f t="shared" si="14"/>
        <v/>
      </c>
      <c r="S193" s="16" t="str" cm="1">
        <f t="array" ref="S193">IFERROR(_xlfn.IFS(I193="Offensive Rebound",1),"")</f>
        <v/>
      </c>
      <c r="T193" s="16" t="str" cm="1">
        <f t="array" ref="T193">IFERROR(_xlfn.IFS(I193="Defensive Rebound",1),"")</f>
        <v/>
      </c>
      <c r="U193" s="16" t="str" cm="1">
        <f t="array" ref="U193">IFERROR(_xlfn.IFS(I193="Assist",1),"")</f>
        <v/>
      </c>
      <c r="V193" s="16" t="str" cm="1">
        <f t="array" ref="V193">IFERROR(_xlfn.IFS(I193="Turnover",1),"")</f>
        <v/>
      </c>
      <c r="W193" s="16" t="str" cm="1">
        <f t="array" ref="W193">IFERROR(_xlfn.IFS(I193="Steal",1),"")</f>
        <v/>
      </c>
      <c r="X193" s="16" t="str" cm="1">
        <f t="array" ref="X193">IFERROR(_xlfn.IFS(I193="Block",1),"")</f>
        <v/>
      </c>
      <c r="Y193" s="16" t="str" cm="1">
        <f t="array" ref="Y193">IFERROR(_xlfn.IFS(I193="Block Received",1),"")</f>
        <v/>
      </c>
      <c r="Z193" s="16" t="str" cm="1">
        <f t="array" ref="Z193">IFERROR(_xlfn.IFS(I193="Foul",1,I193="Foul Technical",1,I193="Offensive Foul",1),"")</f>
        <v/>
      </c>
      <c r="AA193" s="16" t="str" cm="1">
        <f t="array" ref="AA193">IFERROR(_xlfn.IFS(I193="Foul Received",1),"")</f>
        <v/>
      </c>
      <c r="AB193" s="49" t="str" cm="1">
        <f t="array" ref="AB193">IFERROR(_xlfn.IFS(I193="Starting lineup",C193,I193="Substitution - In",C193),"")</f>
        <v/>
      </c>
      <c r="AC193" s="46" cm="1">
        <f t="array" ref="AC193">IFERROR(_xlfn.IFS(I193="Finishing lineup",C193,I193="Substitution - Out",C193),"")</f>
        <v>0</v>
      </c>
      <c r="AE193" s="50" cm="1">
        <f t="array" ref="AE193">IF(AC193&lt;&gt;"",LOOKUP(2,1/((G$2:G192=G193)*(AB$2:AB192&lt;&gt;"")),AB$2:AB192)-AC193,"")</f>
        <v>6.9444444444444441E-3</v>
      </c>
    </row>
    <row r="194" spans="1:31" hidden="1" x14ac:dyDescent="0.35">
      <c r="A194" s="16">
        <v>2</v>
      </c>
      <c r="B194" s="19">
        <v>188</v>
      </c>
      <c r="C194" s="46">
        <v>0</v>
      </c>
      <c r="D194" s="16">
        <f t="shared" si="25"/>
        <v>0</v>
      </c>
      <c r="E194" s="16">
        <f t="shared" si="26"/>
        <v>0</v>
      </c>
      <c r="F194" s="16" t="s">
        <v>16</v>
      </c>
      <c r="G194" s="16" t="s">
        <v>41</v>
      </c>
      <c r="H194" s="16" t="str">
        <f>_xlfn.XLOOKUP(G194,'1-Players'!$A$2:$A$27,'1-Players'!$D$2:$D$27,"")</f>
        <v>John Shurna</v>
      </c>
      <c r="I194" s="16" t="s">
        <v>137</v>
      </c>
      <c r="K194" s="16" t="str" cm="1">
        <f t="array" ref="K194">IFERROR(_xlfn.IFS(I194="Free Throw",1,I194="2-Point Shot",2,I194="Dunk",2,I194="3-Point Shot",3),"")</f>
        <v/>
      </c>
      <c r="L194" s="16" t="str" cm="1">
        <f t="array" ref="L194">IFERROR(_xlfn.IFS(J194="Made",1,J194="Missed",0),"")</f>
        <v/>
      </c>
      <c r="M194" s="16" t="str">
        <f t="shared" si="13"/>
        <v/>
      </c>
      <c r="R194" s="16" t="str">
        <f t="shared" si="14"/>
        <v/>
      </c>
      <c r="S194" s="16" t="str" cm="1">
        <f t="array" ref="S194">IFERROR(_xlfn.IFS(I194="Offensive Rebound",1),"")</f>
        <v/>
      </c>
      <c r="T194" s="16" t="str" cm="1">
        <f t="array" ref="T194">IFERROR(_xlfn.IFS(I194="Defensive Rebound",1),"")</f>
        <v/>
      </c>
      <c r="U194" s="16" t="str" cm="1">
        <f t="array" ref="U194">IFERROR(_xlfn.IFS(I194="Assist",1),"")</f>
        <v/>
      </c>
      <c r="V194" s="16" t="str" cm="1">
        <f t="array" ref="V194">IFERROR(_xlfn.IFS(I194="Turnover",1),"")</f>
        <v/>
      </c>
      <c r="W194" s="16" t="str" cm="1">
        <f t="array" ref="W194">IFERROR(_xlfn.IFS(I194="Steal",1),"")</f>
        <v/>
      </c>
      <c r="X194" s="16" t="str" cm="1">
        <f t="array" ref="X194">IFERROR(_xlfn.IFS(I194="Block",1),"")</f>
        <v/>
      </c>
      <c r="Y194" s="16" t="str" cm="1">
        <f t="array" ref="Y194">IFERROR(_xlfn.IFS(I194="Block Received",1),"")</f>
        <v/>
      </c>
      <c r="Z194" s="16" t="str" cm="1">
        <f t="array" ref="Z194">IFERROR(_xlfn.IFS(I194="Foul",1,I194="Foul Technical",1,I194="Offensive Foul",1),"")</f>
        <v/>
      </c>
      <c r="AA194" s="16" t="str" cm="1">
        <f t="array" ref="AA194">IFERROR(_xlfn.IFS(I194="Foul Received",1),"")</f>
        <v/>
      </c>
      <c r="AB194" s="49" t="str" cm="1">
        <f t="array" ref="AB194">IFERROR(_xlfn.IFS(I194="Starting lineup",C194,I194="Substitution - In",C194),"")</f>
        <v/>
      </c>
      <c r="AC194" s="46" cm="1">
        <f t="array" ref="AC194">IFERROR(_xlfn.IFS(I194="Finishing lineup",C194,I194="Substitution - Out",C194),"")</f>
        <v>0</v>
      </c>
      <c r="AE194" s="50" cm="1">
        <f t="array" ref="AE194">IF(AC194&lt;&gt;"",LOOKUP(2,1/((G$2:G193=G194)*(AB$2:AB193&lt;&gt;"")),AB$2:AB193)-AC194,"")</f>
        <v>6.9444444444444441E-3</v>
      </c>
    </row>
    <row r="195" spans="1:31" hidden="1" x14ac:dyDescent="0.35">
      <c r="A195" s="16">
        <v>2</v>
      </c>
      <c r="B195" s="19">
        <v>189</v>
      </c>
      <c r="C195" s="46">
        <v>0</v>
      </c>
      <c r="D195" s="16">
        <f t="shared" si="25"/>
        <v>0</v>
      </c>
      <c r="E195" s="16">
        <f t="shared" si="26"/>
        <v>0</v>
      </c>
      <c r="F195" s="16" t="s">
        <v>16</v>
      </c>
      <c r="G195" s="16" t="s">
        <v>43</v>
      </c>
      <c r="H195" s="16" t="str">
        <f>_xlfn.XLOOKUP(G195,'1-Players'!$A$2:$A$27,'1-Players'!$D$2:$D$27,"")</f>
        <v>Cameron Krutwig</v>
      </c>
      <c r="I195" s="16" t="s">
        <v>137</v>
      </c>
      <c r="K195" s="16" t="str" cm="1">
        <f t="array" ref="K195">IFERROR(_xlfn.IFS(I195="Free Throw",1,I195="2-Point Shot",2,I195="Dunk",2,I195="3-Point Shot",3),"")</f>
        <v/>
      </c>
      <c r="L195" s="16" t="str" cm="1">
        <f t="array" ref="L195">IFERROR(_xlfn.IFS(J195="Made",1,J195="Missed",0),"")</f>
        <v/>
      </c>
      <c r="M195" s="16" t="str">
        <f t="shared" ref="M195:M242" si="27">IFERROR(K195*L195,"")</f>
        <v/>
      </c>
      <c r="R195" s="16" t="str">
        <f t="shared" ref="R195:R242" si="28">IF(J195&lt;&gt;"Made","",IF(I196="Assist","S","N"))</f>
        <v/>
      </c>
      <c r="S195" s="16" t="str" cm="1">
        <f t="array" ref="S195">IFERROR(_xlfn.IFS(I195="Offensive Rebound",1),"")</f>
        <v/>
      </c>
      <c r="T195" s="16" t="str" cm="1">
        <f t="array" ref="T195">IFERROR(_xlfn.IFS(I195="Defensive Rebound",1),"")</f>
        <v/>
      </c>
      <c r="U195" s="16" t="str" cm="1">
        <f t="array" ref="U195">IFERROR(_xlfn.IFS(I195="Assist",1),"")</f>
        <v/>
      </c>
      <c r="V195" s="16" t="str" cm="1">
        <f t="array" ref="V195">IFERROR(_xlfn.IFS(I195="Turnover",1),"")</f>
        <v/>
      </c>
      <c r="W195" s="16" t="str" cm="1">
        <f t="array" ref="W195">IFERROR(_xlfn.IFS(I195="Steal",1),"")</f>
        <v/>
      </c>
      <c r="X195" s="16" t="str" cm="1">
        <f t="array" ref="X195">IFERROR(_xlfn.IFS(I195="Block",1),"")</f>
        <v/>
      </c>
      <c r="Y195" s="16" t="str" cm="1">
        <f t="array" ref="Y195">IFERROR(_xlfn.IFS(I195="Block Received",1),"")</f>
        <v/>
      </c>
      <c r="Z195" s="16" t="str" cm="1">
        <f t="array" ref="Z195">IFERROR(_xlfn.IFS(I195="Foul",1,I195="Foul Technical",1,I195="Offensive Foul",1),"")</f>
        <v/>
      </c>
      <c r="AA195" s="16" t="str" cm="1">
        <f t="array" ref="AA195">IFERROR(_xlfn.IFS(I195="Foul Received",1),"")</f>
        <v/>
      </c>
      <c r="AB195" s="49" t="str" cm="1">
        <f t="array" ref="AB195">IFERROR(_xlfn.IFS(I195="Starting lineup",C195,I195="Substitution - In",C195),"")</f>
        <v/>
      </c>
      <c r="AC195" s="46" cm="1">
        <f t="array" ref="AC195">IFERROR(_xlfn.IFS(I195="Finishing lineup",C195,I195="Substitution - Out",C195),"")</f>
        <v>0</v>
      </c>
      <c r="AE195" s="50" cm="1">
        <f t="array" ref="AE195">IF(AC195&lt;&gt;"",LOOKUP(2,1/((G$2:G194=G195)*(AB$2:AB194&lt;&gt;"")),AB$2:AB194)-AC195,"")</f>
        <v>6.9444444444444441E-3</v>
      </c>
    </row>
    <row r="196" spans="1:31" hidden="1" x14ac:dyDescent="0.35">
      <c r="A196" s="16">
        <v>2</v>
      </c>
      <c r="B196" s="19">
        <v>190</v>
      </c>
      <c r="C196" s="46">
        <v>0</v>
      </c>
      <c r="D196" s="16">
        <f t="shared" si="25"/>
        <v>0</v>
      </c>
      <c r="E196" s="16">
        <f t="shared" si="26"/>
        <v>0</v>
      </c>
      <c r="F196" s="16" t="s">
        <v>46</v>
      </c>
      <c r="G196" s="16" t="s">
        <v>9</v>
      </c>
      <c r="H196" s="16" t="str">
        <f>_xlfn.XLOOKUP(G196,'1-Players'!$A$2:$A$27,'1-Players'!$D$2:$D$27,"")</f>
        <v>Agustín Ubal</v>
      </c>
      <c r="I196" s="16" t="s">
        <v>137</v>
      </c>
      <c r="K196" s="16" t="str" cm="1">
        <f t="array" ref="K196">IFERROR(_xlfn.IFS(I196="Free Throw",1,I196="2-Point Shot",2,I196="Dunk",2,I196="3-Point Shot",3),"")</f>
        <v/>
      </c>
      <c r="L196" s="16" t="str" cm="1">
        <f t="array" ref="L196">IFERROR(_xlfn.IFS(J196="Made",1,J196="Missed",0),"")</f>
        <v/>
      </c>
      <c r="M196" s="16" t="str">
        <f t="shared" si="27"/>
        <v/>
      </c>
      <c r="R196" s="16" t="str">
        <f t="shared" si="28"/>
        <v/>
      </c>
      <c r="S196" s="16" t="str" cm="1">
        <f t="array" ref="S196">IFERROR(_xlfn.IFS(I196="Offensive Rebound",1),"")</f>
        <v/>
      </c>
      <c r="T196" s="16" t="str" cm="1">
        <f t="array" ref="T196">IFERROR(_xlfn.IFS(I196="Defensive Rebound",1),"")</f>
        <v/>
      </c>
      <c r="U196" s="16" t="str" cm="1">
        <f t="array" ref="U196">IFERROR(_xlfn.IFS(I196="Assist",1),"")</f>
        <v/>
      </c>
      <c r="V196" s="16" t="str" cm="1">
        <f t="array" ref="V196">IFERROR(_xlfn.IFS(I196="Turnover",1),"")</f>
        <v/>
      </c>
      <c r="W196" s="16" t="str" cm="1">
        <f t="array" ref="W196">IFERROR(_xlfn.IFS(I196="Steal",1),"")</f>
        <v/>
      </c>
      <c r="X196" s="16" t="str" cm="1">
        <f t="array" ref="X196">IFERROR(_xlfn.IFS(I196="Block",1),"")</f>
        <v/>
      </c>
      <c r="Y196" s="16" t="str" cm="1">
        <f t="array" ref="Y196">IFERROR(_xlfn.IFS(I196="Block Received",1),"")</f>
        <v/>
      </c>
      <c r="Z196" s="16" t="str" cm="1">
        <f t="array" ref="Z196">IFERROR(_xlfn.IFS(I196="Foul",1,I196="Foul Technical",1,I196="Offensive Foul",1),"")</f>
        <v/>
      </c>
      <c r="AA196" s="16" t="str" cm="1">
        <f t="array" ref="AA196">IFERROR(_xlfn.IFS(I196="Foul Received",1),"")</f>
        <v/>
      </c>
      <c r="AB196" s="49" t="str" cm="1">
        <f t="array" ref="AB196">IFERROR(_xlfn.IFS(I196="Starting lineup",C196,I196="Substitution - In",C196),"")</f>
        <v/>
      </c>
      <c r="AC196" s="46" cm="1">
        <f t="array" ref="AC196">IFERROR(_xlfn.IFS(I196="Finishing lineup",C196,I196="Substitution - Out",C196),"")</f>
        <v>0</v>
      </c>
      <c r="AE196" s="50" cm="1">
        <f t="array" ref="AE196">IF(AC196&lt;&gt;"",LOOKUP(2,1/((G$2:G195=G196)*(AB$2:AB195&lt;&gt;"")),AB$2:AB195)-AC196,"")</f>
        <v>6.9444444444444441E-3</v>
      </c>
    </row>
    <row r="197" spans="1:31" hidden="1" x14ac:dyDescent="0.35">
      <c r="A197" s="16">
        <v>2</v>
      </c>
      <c r="B197" s="19">
        <v>191</v>
      </c>
      <c r="C197" s="46">
        <v>0</v>
      </c>
      <c r="D197" s="16">
        <f t="shared" si="25"/>
        <v>0</v>
      </c>
      <c r="E197" s="16">
        <f t="shared" si="26"/>
        <v>0</v>
      </c>
      <c r="F197" s="16" t="s">
        <v>46</v>
      </c>
      <c r="G197" s="16" t="s">
        <v>11</v>
      </c>
      <c r="H197" s="16" t="str">
        <f>_xlfn.XLOOKUP(G197,'1-Players'!$A$2:$A$27,'1-Players'!$D$2:$D$27,"")</f>
        <v>Marcis Steinbergs</v>
      </c>
      <c r="I197" s="16" t="s">
        <v>137</v>
      </c>
      <c r="K197" s="16" t="str" cm="1">
        <f t="array" ref="K197">IFERROR(_xlfn.IFS(I197="Free Throw",1,I197="2-Point Shot",2,I197="Dunk",2,I197="3-Point Shot",3),"")</f>
        <v/>
      </c>
      <c r="L197" s="16" t="str" cm="1">
        <f t="array" ref="L197">IFERROR(_xlfn.IFS(J197="Made",1,J197="Missed",0),"")</f>
        <v/>
      </c>
      <c r="M197" s="16" t="str">
        <f t="shared" si="27"/>
        <v/>
      </c>
      <c r="R197" s="16" t="str">
        <f t="shared" si="28"/>
        <v/>
      </c>
      <c r="S197" s="16" t="str" cm="1">
        <f t="array" ref="S197">IFERROR(_xlfn.IFS(I197="Offensive Rebound",1),"")</f>
        <v/>
      </c>
      <c r="T197" s="16" t="str" cm="1">
        <f t="array" ref="T197">IFERROR(_xlfn.IFS(I197="Defensive Rebound",1),"")</f>
        <v/>
      </c>
      <c r="U197" s="16" t="str" cm="1">
        <f t="array" ref="U197">IFERROR(_xlfn.IFS(I197="Assist",1),"")</f>
        <v/>
      </c>
      <c r="V197" s="16" t="str" cm="1">
        <f t="array" ref="V197">IFERROR(_xlfn.IFS(I197="Turnover",1),"")</f>
        <v/>
      </c>
      <c r="W197" s="16" t="str" cm="1">
        <f t="array" ref="W197">IFERROR(_xlfn.IFS(I197="Steal",1),"")</f>
        <v/>
      </c>
      <c r="X197" s="16" t="str" cm="1">
        <f t="array" ref="X197">IFERROR(_xlfn.IFS(I197="Block",1),"")</f>
        <v/>
      </c>
      <c r="Y197" s="16" t="str" cm="1">
        <f t="array" ref="Y197">IFERROR(_xlfn.IFS(I197="Block Received",1),"")</f>
        <v/>
      </c>
      <c r="Z197" s="16" t="str" cm="1">
        <f t="array" ref="Z197">IFERROR(_xlfn.IFS(I197="Foul",1,I197="Foul Technical",1,I197="Offensive Foul",1),"")</f>
        <v/>
      </c>
      <c r="AA197" s="16" t="str" cm="1">
        <f t="array" ref="AA197">IFERROR(_xlfn.IFS(I197="Foul Received",1),"")</f>
        <v/>
      </c>
      <c r="AB197" s="49" t="str" cm="1">
        <f t="array" ref="AB197">IFERROR(_xlfn.IFS(I197="Starting lineup",C197,I197="Substitution - In",C197),"")</f>
        <v/>
      </c>
      <c r="AC197" s="46" cm="1">
        <f t="array" ref="AC197">IFERROR(_xlfn.IFS(I197="Finishing lineup",C197,I197="Substitution - Out",C197),"")</f>
        <v>0</v>
      </c>
      <c r="AE197" s="50" cm="1">
        <f t="array" ref="AE197">IF(AC197&lt;&gt;"",LOOKUP(2,1/((G$2:G196=G197)*(AB$2:AB196&lt;&gt;"")),AB$2:AB196)-AC197,"")</f>
        <v>6.9444444444444441E-3</v>
      </c>
    </row>
    <row r="198" spans="1:31" hidden="1" x14ac:dyDescent="0.35">
      <c r="A198" s="16">
        <v>2</v>
      </c>
      <c r="B198" s="19">
        <v>192</v>
      </c>
      <c r="C198" s="46">
        <v>0</v>
      </c>
      <c r="D198" s="16">
        <f t="shared" si="25"/>
        <v>0</v>
      </c>
      <c r="E198" s="16">
        <f t="shared" si="26"/>
        <v>0</v>
      </c>
      <c r="F198" s="16" t="s">
        <v>46</v>
      </c>
      <c r="G198" s="16" t="s">
        <v>35</v>
      </c>
      <c r="H198" s="16" t="str">
        <f>_xlfn.XLOOKUP(G198,'1-Players'!$A$2:$A$27,'1-Players'!$D$2:$D$27,"")</f>
        <v>Grant Golden</v>
      </c>
      <c r="I198" s="16" t="s">
        <v>137</v>
      </c>
      <c r="K198" s="16" t="str" cm="1">
        <f t="array" ref="K198">IFERROR(_xlfn.IFS(I198="Free Throw",1,I198="2-Point Shot",2,I198="Dunk",2,I198="3-Point Shot",3),"")</f>
        <v/>
      </c>
      <c r="L198" s="16" t="str" cm="1">
        <f t="array" ref="L198">IFERROR(_xlfn.IFS(J198="Made",1,J198="Missed",0),"")</f>
        <v/>
      </c>
      <c r="M198" s="16" t="str">
        <f t="shared" si="27"/>
        <v/>
      </c>
      <c r="R198" s="16" t="str">
        <f t="shared" si="28"/>
        <v/>
      </c>
      <c r="S198" s="16" t="str" cm="1">
        <f t="array" ref="S198">IFERROR(_xlfn.IFS(I198="Offensive Rebound",1),"")</f>
        <v/>
      </c>
      <c r="T198" s="16" t="str" cm="1">
        <f t="array" ref="T198">IFERROR(_xlfn.IFS(I198="Defensive Rebound",1),"")</f>
        <v/>
      </c>
      <c r="U198" s="16" t="str" cm="1">
        <f t="array" ref="U198">IFERROR(_xlfn.IFS(I198="Assist",1),"")</f>
        <v/>
      </c>
      <c r="V198" s="16" t="str" cm="1">
        <f t="array" ref="V198">IFERROR(_xlfn.IFS(I198="Turnover",1),"")</f>
        <v/>
      </c>
      <c r="W198" s="16" t="str" cm="1">
        <f t="array" ref="W198">IFERROR(_xlfn.IFS(I198="Steal",1),"")</f>
        <v/>
      </c>
      <c r="X198" s="16" t="str" cm="1">
        <f t="array" ref="X198">IFERROR(_xlfn.IFS(I198="Block",1),"")</f>
        <v/>
      </c>
      <c r="Y198" s="16" t="str" cm="1">
        <f t="array" ref="Y198">IFERROR(_xlfn.IFS(I198="Block Received",1),"")</f>
        <v/>
      </c>
      <c r="Z198" s="16" t="str" cm="1">
        <f t="array" ref="Z198">IFERROR(_xlfn.IFS(I198="Foul",1,I198="Foul Technical",1,I198="Offensive Foul",1),"")</f>
        <v/>
      </c>
      <c r="AA198" s="16" t="str" cm="1">
        <f t="array" ref="AA198">IFERROR(_xlfn.IFS(I198="Foul Received",1),"")</f>
        <v/>
      </c>
      <c r="AB198" s="49" t="str" cm="1">
        <f t="array" ref="AB198">IFERROR(_xlfn.IFS(I198="Starting lineup",C198,I198="Substitution - In",C198),"")</f>
        <v/>
      </c>
      <c r="AC198" s="46" cm="1">
        <f t="array" ref="AC198">IFERROR(_xlfn.IFS(I198="Finishing lineup",C198,I198="Substitution - Out",C198),"")</f>
        <v>0</v>
      </c>
      <c r="AE198" s="50" cm="1">
        <f t="array" ref="AE198">IF(AC198&lt;&gt;"",LOOKUP(2,1/((G$2:G197=G198)*(AB$2:AB197&lt;&gt;"")),AB$2:AB197)-AC198,"")</f>
        <v>6.9444444444444441E-3</v>
      </c>
    </row>
    <row r="199" spans="1:31" hidden="1" x14ac:dyDescent="0.35">
      <c r="A199" s="16">
        <v>2</v>
      </c>
      <c r="B199" s="19">
        <v>193</v>
      </c>
      <c r="C199" s="46">
        <v>0</v>
      </c>
      <c r="D199" s="16">
        <f t="shared" si="25"/>
        <v>0</v>
      </c>
      <c r="E199" s="16">
        <f t="shared" si="26"/>
        <v>0</v>
      </c>
      <c r="F199" s="16" t="s">
        <v>46</v>
      </c>
      <c r="G199" s="16" t="s">
        <v>68</v>
      </c>
      <c r="H199" s="16" t="str">
        <f>_xlfn.XLOOKUP(G199,'1-Players'!$A$2:$A$27,'1-Players'!$D$2:$D$27,"")</f>
        <v>Dani Pérez</v>
      </c>
      <c r="I199" s="16" t="s">
        <v>137</v>
      </c>
      <c r="K199" s="16" t="str" cm="1">
        <f t="array" ref="K199">IFERROR(_xlfn.IFS(I199="Free Throw",1,I199="2-Point Shot",2,I199="Dunk",2,I199="3-Point Shot",3),"")</f>
        <v/>
      </c>
      <c r="L199" s="16" t="str" cm="1">
        <f t="array" ref="L199">IFERROR(_xlfn.IFS(J199="Made",1,J199="Missed",0),"")</f>
        <v/>
      </c>
      <c r="M199" s="16" t="str">
        <f t="shared" si="27"/>
        <v/>
      </c>
      <c r="R199" s="16" t="str">
        <f t="shared" si="28"/>
        <v/>
      </c>
      <c r="S199" s="16" t="str" cm="1">
        <f t="array" ref="S199">IFERROR(_xlfn.IFS(I199="Offensive Rebound",1),"")</f>
        <v/>
      </c>
      <c r="T199" s="16" t="str" cm="1">
        <f t="array" ref="T199">IFERROR(_xlfn.IFS(I199="Defensive Rebound",1),"")</f>
        <v/>
      </c>
      <c r="U199" s="16" t="str" cm="1">
        <f t="array" ref="U199">IFERROR(_xlfn.IFS(I199="Assist",1),"")</f>
        <v/>
      </c>
      <c r="V199" s="16" t="str" cm="1">
        <f t="array" ref="V199">IFERROR(_xlfn.IFS(I199="Turnover",1),"")</f>
        <v/>
      </c>
      <c r="W199" s="16" t="str" cm="1">
        <f t="array" ref="W199">IFERROR(_xlfn.IFS(I199="Steal",1),"")</f>
        <v/>
      </c>
      <c r="X199" s="16" t="str" cm="1">
        <f t="array" ref="X199">IFERROR(_xlfn.IFS(I199="Block",1),"")</f>
        <v/>
      </c>
      <c r="Y199" s="16" t="str" cm="1">
        <f t="array" ref="Y199">IFERROR(_xlfn.IFS(I199="Block Received",1),"")</f>
        <v/>
      </c>
      <c r="Z199" s="16" t="str" cm="1">
        <f t="array" ref="Z199">IFERROR(_xlfn.IFS(I199="Foul",1,I199="Foul Technical",1,I199="Offensive Foul",1),"")</f>
        <v/>
      </c>
      <c r="AA199" s="16" t="str" cm="1">
        <f t="array" ref="AA199">IFERROR(_xlfn.IFS(I199="Foul Received",1),"")</f>
        <v/>
      </c>
      <c r="AB199" s="49" t="str" cm="1">
        <f t="array" ref="AB199">IFERROR(_xlfn.IFS(I199="Starting lineup",C199,I199="Substitution - In",C199),"")</f>
        <v/>
      </c>
      <c r="AC199" s="46" cm="1">
        <f t="array" ref="AC199">IFERROR(_xlfn.IFS(I199="Finishing lineup",C199,I199="Substitution - Out",C199),"")</f>
        <v>0</v>
      </c>
      <c r="AE199" s="50" cm="1">
        <f t="array" ref="AE199">IF(AC199&lt;&gt;"",LOOKUP(2,1/((G$2:G198=G199)*(AB$2:AB198&lt;&gt;"")),AB$2:AB198)-AC199,"")</f>
        <v>6.9444444444444441E-3</v>
      </c>
    </row>
    <row r="200" spans="1:31" hidden="1" x14ac:dyDescent="0.35">
      <c r="A200" s="16">
        <v>2</v>
      </c>
      <c r="B200" s="19">
        <v>194</v>
      </c>
      <c r="C200" s="46">
        <v>0</v>
      </c>
      <c r="D200" s="16">
        <f t="shared" si="25"/>
        <v>0</v>
      </c>
      <c r="E200" s="16">
        <f t="shared" si="26"/>
        <v>0</v>
      </c>
      <c r="F200" s="16" t="s">
        <v>46</v>
      </c>
      <c r="G200" s="16" t="s">
        <v>69</v>
      </c>
      <c r="H200" s="16" t="str">
        <f>_xlfn.XLOOKUP(G200,'1-Players'!$A$2:$A$27,'1-Players'!$D$2:$D$27,"")</f>
        <v>Alfonso Plummer</v>
      </c>
      <c r="I200" s="16" t="s">
        <v>137</v>
      </c>
      <c r="K200" s="16" t="str" cm="1">
        <f t="array" ref="K200">IFERROR(_xlfn.IFS(I200="Free Throw",1,I200="2-Point Shot",2,I200="Dunk",2,I200="3-Point Shot",3),"")</f>
        <v/>
      </c>
      <c r="L200" s="16" t="str" cm="1">
        <f t="array" ref="L200">IFERROR(_xlfn.IFS(J200="Made",1,J200="Missed",0),"")</f>
        <v/>
      </c>
      <c r="M200" s="16" t="str">
        <f t="shared" si="27"/>
        <v/>
      </c>
      <c r="R200" s="16" t="str">
        <f t="shared" si="28"/>
        <v/>
      </c>
      <c r="S200" s="16" t="str" cm="1">
        <f t="array" ref="S200">IFERROR(_xlfn.IFS(I200="Offensive Rebound",1),"")</f>
        <v/>
      </c>
      <c r="T200" s="16" t="str" cm="1">
        <f t="array" ref="T200">IFERROR(_xlfn.IFS(I200="Defensive Rebound",1),"")</f>
        <v/>
      </c>
      <c r="U200" s="16" t="str" cm="1">
        <f t="array" ref="U200">IFERROR(_xlfn.IFS(I200="Assist",1),"")</f>
        <v/>
      </c>
      <c r="V200" s="16" t="str" cm="1">
        <f t="array" ref="V200">IFERROR(_xlfn.IFS(I200="Turnover",1),"")</f>
        <v/>
      </c>
      <c r="W200" s="16" t="str" cm="1">
        <f t="array" ref="W200">IFERROR(_xlfn.IFS(I200="Steal",1),"")</f>
        <v/>
      </c>
      <c r="X200" s="16" t="str" cm="1">
        <f t="array" ref="X200">IFERROR(_xlfn.IFS(I200="Block",1),"")</f>
        <v/>
      </c>
      <c r="Y200" s="16" t="str" cm="1">
        <f t="array" ref="Y200">IFERROR(_xlfn.IFS(I200="Block Received",1),"")</f>
        <v/>
      </c>
      <c r="Z200" s="16" t="str" cm="1">
        <f t="array" ref="Z200">IFERROR(_xlfn.IFS(I200="Foul",1,I200="Foul Technical",1,I200="Offensive Foul",1),"")</f>
        <v/>
      </c>
      <c r="AA200" s="16" t="str" cm="1">
        <f t="array" ref="AA200">IFERROR(_xlfn.IFS(I200="Foul Received",1),"")</f>
        <v/>
      </c>
      <c r="AB200" s="49" t="str" cm="1">
        <f t="array" ref="AB200">IFERROR(_xlfn.IFS(I200="Starting lineup",C200,I200="Substitution - In",C200),"")</f>
        <v/>
      </c>
      <c r="AC200" s="46" cm="1">
        <f t="array" ref="AC200">IFERROR(_xlfn.IFS(I200="Finishing lineup",C200,I200="Substitution - Out",C200),"")</f>
        <v>0</v>
      </c>
      <c r="AE200" s="50" cm="1">
        <f t="array" ref="AE200">IF(AC200&lt;&gt;"",LOOKUP(2,1/((G$2:G199=G200)*(AB$2:AB199&lt;&gt;"")),AB$2:AB199)-AC200,"")</f>
        <v>6.9444444444444441E-3</v>
      </c>
    </row>
    <row r="201" spans="1:31" hidden="1" x14ac:dyDescent="0.35">
      <c r="A201" s="16">
        <v>3</v>
      </c>
      <c r="B201" s="19">
        <v>195</v>
      </c>
      <c r="C201" s="46">
        <v>6.9444444444444441E-3</v>
      </c>
      <c r="D201" s="16">
        <f t="shared" ref="D201:D221" si="29">MINUTE(C201)</f>
        <v>10</v>
      </c>
      <c r="E201" s="16">
        <f t="shared" ref="E201:E221" si="30">SECOND(C201)</f>
        <v>0</v>
      </c>
      <c r="F201" s="19" t="s">
        <v>16</v>
      </c>
      <c r="G201" s="16" t="s">
        <v>18</v>
      </c>
      <c r="H201" s="16" t="str">
        <f>_xlfn.XLOOKUP(G201,'1-Players'!$A$2:$A$27,'1-Players'!$D$2:$D$27,"")</f>
        <v>Corey Walden</v>
      </c>
      <c r="I201" s="16" t="s">
        <v>81</v>
      </c>
      <c r="K201" s="16" t="str" cm="1">
        <f t="array" ref="K201">IFERROR(_xlfn.IFS(I201="Free Throw",1,I201="2-Point Shot",2,I201="Dunk",2,I201="3-Point Shot",3),"")</f>
        <v/>
      </c>
      <c r="L201" s="16" t="str" cm="1">
        <f t="array" ref="L201">IFERROR(_xlfn.IFS(J201="Made",1,J201="Missed",0),"")</f>
        <v/>
      </c>
      <c r="M201" s="16" t="str">
        <f t="shared" si="27"/>
        <v/>
      </c>
      <c r="R201" s="16" t="str">
        <f t="shared" si="28"/>
        <v/>
      </c>
      <c r="S201" s="16" t="str" cm="1">
        <f t="array" ref="S201">IFERROR(_xlfn.IFS(I201="Offensive Rebound",1),"")</f>
        <v/>
      </c>
      <c r="T201" s="16" t="str" cm="1">
        <f t="array" ref="T201">IFERROR(_xlfn.IFS(I201="Defensive Rebound",1),"")</f>
        <v/>
      </c>
      <c r="U201" s="16" t="str" cm="1">
        <f t="array" ref="U201">IFERROR(_xlfn.IFS(I201="Assist",1),"")</f>
        <v/>
      </c>
      <c r="V201" s="16" t="str" cm="1">
        <f t="array" ref="V201">IFERROR(_xlfn.IFS(I201="Turnover",1),"")</f>
        <v/>
      </c>
      <c r="W201" s="16" t="str" cm="1">
        <f t="array" ref="W201">IFERROR(_xlfn.IFS(I201="Steal",1),"")</f>
        <v/>
      </c>
      <c r="X201" s="16" t="str" cm="1">
        <f t="array" ref="X201">IFERROR(_xlfn.IFS(I201="Block",1),"")</f>
        <v/>
      </c>
      <c r="Y201" s="16" t="str" cm="1">
        <f t="array" ref="Y201">IFERROR(_xlfn.IFS(I201="Block Received",1),"")</f>
        <v/>
      </c>
      <c r="Z201" s="16" t="str" cm="1">
        <f t="array" ref="Z201">IFERROR(_xlfn.IFS(I201="Foul",1,I201="Foul Technical",1,I201="Offensive Foul",1),"")</f>
        <v/>
      </c>
      <c r="AA201" s="16" t="str" cm="1">
        <f t="array" ref="AA201">IFERROR(_xlfn.IFS(I201="Foul Received",1),"")</f>
        <v/>
      </c>
      <c r="AB201" s="49" cm="1">
        <f t="array" ref="AB201">IFERROR(_xlfn.IFS(I201="Starting lineup",C201,I201="Substitution - In",C201),"")</f>
        <v>6.9444444444444441E-3</v>
      </c>
      <c r="AC201" s="46" t="str" cm="1">
        <f t="array" ref="AC201">IFERROR(_xlfn.IFS(I201="Finishing lineup",C201,I201="Substitution - Out",C201),"")</f>
        <v/>
      </c>
      <c r="AE201" s="50" t="str" cm="1">
        <f t="array" ref="AE201">IF(AC201&lt;&gt;"",LOOKUP(2,1/((G$2:G200=G201)*(AB$2:AB200&lt;&gt;"")),AB$2:AB200)-AC201,"")</f>
        <v/>
      </c>
    </row>
    <row r="202" spans="1:31" hidden="1" x14ac:dyDescent="0.35">
      <c r="A202" s="16">
        <v>3</v>
      </c>
      <c r="B202" s="19">
        <v>196</v>
      </c>
      <c r="C202" s="46">
        <v>6.9444444444444441E-3</v>
      </c>
      <c r="D202" s="16">
        <f t="shared" si="29"/>
        <v>10</v>
      </c>
      <c r="E202" s="16">
        <f t="shared" si="30"/>
        <v>0</v>
      </c>
      <c r="F202" s="16" t="s">
        <v>16</v>
      </c>
      <c r="G202" s="16" t="s">
        <v>22</v>
      </c>
      <c r="H202" s="16" t="str">
        <f>_xlfn.XLOOKUP(G202,'1-Players'!$A$2:$A$27,'1-Players'!$D$2:$D$27,"")</f>
        <v>Oriol Paulí</v>
      </c>
      <c r="I202" s="16" t="s">
        <v>81</v>
      </c>
      <c r="K202" s="16" t="str" cm="1">
        <f t="array" ref="K202">IFERROR(_xlfn.IFS(I202="Free Throw",1,I202="2-Point Shot",2,I202="Dunk",2,I202="3-Point Shot",3),"")</f>
        <v/>
      </c>
      <c r="L202" s="16" t="str" cm="1">
        <f t="array" ref="L202">IFERROR(_xlfn.IFS(J202="Made",1,J202="Missed",0),"")</f>
        <v/>
      </c>
      <c r="M202" s="16" t="str">
        <f t="shared" si="27"/>
        <v/>
      </c>
      <c r="R202" s="16" t="str">
        <f t="shared" si="28"/>
        <v/>
      </c>
      <c r="S202" s="16" t="str" cm="1">
        <f t="array" ref="S202">IFERROR(_xlfn.IFS(I202="Offensive Rebound",1),"")</f>
        <v/>
      </c>
      <c r="T202" s="16" t="str" cm="1">
        <f t="array" ref="T202">IFERROR(_xlfn.IFS(I202="Defensive Rebound",1),"")</f>
        <v/>
      </c>
      <c r="U202" s="16" t="str" cm="1">
        <f t="array" ref="U202">IFERROR(_xlfn.IFS(I202="Assist",1),"")</f>
        <v/>
      </c>
      <c r="V202" s="16" t="str" cm="1">
        <f t="array" ref="V202">IFERROR(_xlfn.IFS(I202="Turnover",1),"")</f>
        <v/>
      </c>
      <c r="W202" s="16" t="str" cm="1">
        <f t="array" ref="W202">IFERROR(_xlfn.IFS(I202="Steal",1),"")</f>
        <v/>
      </c>
      <c r="X202" s="16" t="str" cm="1">
        <f t="array" ref="X202">IFERROR(_xlfn.IFS(I202="Block",1),"")</f>
        <v/>
      </c>
      <c r="Y202" s="16" t="str" cm="1">
        <f t="array" ref="Y202">IFERROR(_xlfn.IFS(I202="Block Received",1),"")</f>
        <v/>
      </c>
      <c r="Z202" s="16" t="str" cm="1">
        <f t="array" ref="Z202">IFERROR(_xlfn.IFS(I202="Foul",1,I202="Foul Technical",1,I202="Offensive Foul",1),"")</f>
        <v/>
      </c>
      <c r="AA202" s="16" t="str" cm="1">
        <f t="array" ref="AA202">IFERROR(_xlfn.IFS(I202="Foul Received",1),"")</f>
        <v/>
      </c>
      <c r="AB202" s="49" cm="1">
        <f t="array" ref="AB202">IFERROR(_xlfn.IFS(I202="Starting lineup",C202,I202="Substitution - In",C202),"")</f>
        <v>6.9444444444444441E-3</v>
      </c>
      <c r="AC202" s="46" t="str" cm="1">
        <f t="array" ref="AC202">IFERROR(_xlfn.IFS(I202="Finishing lineup",C202,I202="Substitution - Out",C202),"")</f>
        <v/>
      </c>
      <c r="AE202" s="50" t="str" cm="1">
        <f t="array" ref="AE202">IF(AC202&lt;&gt;"",LOOKUP(2,1/((G$2:G201=G202)*(AB$2:AB201&lt;&gt;"")),AB$2:AB201)-AC202,"")</f>
        <v/>
      </c>
    </row>
    <row r="203" spans="1:31" hidden="1" x14ac:dyDescent="0.35">
      <c r="A203" s="16">
        <v>3</v>
      </c>
      <c r="B203" s="19">
        <v>197</v>
      </c>
      <c r="C203" s="46">
        <v>6.9444444444444441E-3</v>
      </c>
      <c r="D203" s="16">
        <f t="shared" si="29"/>
        <v>10</v>
      </c>
      <c r="E203" s="16">
        <f t="shared" si="30"/>
        <v>0</v>
      </c>
      <c r="F203" s="16" t="s">
        <v>16</v>
      </c>
      <c r="G203" s="16" t="s">
        <v>39</v>
      </c>
      <c r="H203" s="16" t="str">
        <f>_xlfn.XLOOKUP(G203,'1-Players'!$A$2:$A$27,'1-Players'!$D$2:$D$27,"")</f>
        <v>Millán Jiménez</v>
      </c>
      <c r="I203" s="16" t="s">
        <v>81</v>
      </c>
      <c r="K203" s="16" t="str" cm="1">
        <f t="array" ref="K203">IFERROR(_xlfn.IFS(I203="Free Throw",1,I203="2-Point Shot",2,I203="Dunk",2,I203="3-Point Shot",3),"")</f>
        <v/>
      </c>
      <c r="L203" s="16" t="str" cm="1">
        <f t="array" ref="L203">IFERROR(_xlfn.IFS(J203="Made",1,J203="Missed",0),"")</f>
        <v/>
      </c>
      <c r="M203" s="16" t="str">
        <f t="shared" si="27"/>
        <v/>
      </c>
      <c r="R203" s="16" t="str">
        <f t="shared" si="28"/>
        <v/>
      </c>
      <c r="S203" s="16" t="str" cm="1">
        <f t="array" ref="S203">IFERROR(_xlfn.IFS(I203="Offensive Rebound",1),"")</f>
        <v/>
      </c>
      <c r="T203" s="16" t="str" cm="1">
        <f t="array" ref="T203">IFERROR(_xlfn.IFS(I203="Defensive Rebound",1),"")</f>
        <v/>
      </c>
      <c r="U203" s="16" t="str" cm="1">
        <f t="array" ref="U203">IFERROR(_xlfn.IFS(I203="Assist",1),"")</f>
        <v/>
      </c>
      <c r="V203" s="16" t="str" cm="1">
        <f t="array" ref="V203">IFERROR(_xlfn.IFS(I203="Turnover",1),"")</f>
        <v/>
      </c>
      <c r="W203" s="16" t="str" cm="1">
        <f t="array" ref="W203">IFERROR(_xlfn.IFS(I203="Steal",1),"")</f>
        <v/>
      </c>
      <c r="X203" s="16" t="str" cm="1">
        <f t="array" ref="X203">IFERROR(_xlfn.IFS(I203="Block",1),"")</f>
        <v/>
      </c>
      <c r="Y203" s="16" t="str" cm="1">
        <f t="array" ref="Y203">IFERROR(_xlfn.IFS(I203="Block Received",1),"")</f>
        <v/>
      </c>
      <c r="Z203" s="16" t="str" cm="1">
        <f t="array" ref="Z203">IFERROR(_xlfn.IFS(I203="Foul",1,I203="Foul Technical",1,I203="Offensive Foul",1),"")</f>
        <v/>
      </c>
      <c r="AA203" s="16" t="str" cm="1">
        <f t="array" ref="AA203">IFERROR(_xlfn.IFS(I203="Foul Received",1),"")</f>
        <v/>
      </c>
      <c r="AB203" s="49" cm="1">
        <f t="array" ref="AB203">IFERROR(_xlfn.IFS(I203="Starting lineup",C203,I203="Substitution - In",C203),"")</f>
        <v>6.9444444444444441E-3</v>
      </c>
      <c r="AC203" s="46" t="str" cm="1">
        <f t="array" ref="AC203">IFERROR(_xlfn.IFS(I203="Finishing lineup",C203,I203="Substitution - Out",C203),"")</f>
        <v/>
      </c>
      <c r="AE203" s="50" t="str" cm="1">
        <f t="array" ref="AE203">IF(AC203&lt;&gt;"",LOOKUP(2,1/((G$2:G202=G203)*(AB$2:AB202&lt;&gt;"")),AB$2:AB202)-AC203,"")</f>
        <v/>
      </c>
    </row>
    <row r="204" spans="1:31" hidden="1" x14ac:dyDescent="0.35">
      <c r="A204" s="16">
        <v>3</v>
      </c>
      <c r="B204" s="19">
        <v>198</v>
      </c>
      <c r="C204" s="46">
        <v>6.9444444444444441E-3</v>
      </c>
      <c r="D204" s="16">
        <f t="shared" si="29"/>
        <v>10</v>
      </c>
      <c r="E204" s="16">
        <f t="shared" si="30"/>
        <v>0</v>
      </c>
      <c r="F204" s="16" t="s">
        <v>16</v>
      </c>
      <c r="G204" s="16" t="s">
        <v>41</v>
      </c>
      <c r="H204" s="16" t="str">
        <f>_xlfn.XLOOKUP(G204,'1-Players'!$A$2:$A$27,'1-Players'!$D$2:$D$27,"")</f>
        <v>John Shurna</v>
      </c>
      <c r="I204" s="16" t="s">
        <v>81</v>
      </c>
      <c r="K204" s="16" t="str" cm="1">
        <f t="array" ref="K204">IFERROR(_xlfn.IFS(I204="Free Throw",1,I204="2-Point Shot",2,I204="Dunk",2,I204="3-Point Shot",3),"")</f>
        <v/>
      </c>
      <c r="L204" s="16" t="str" cm="1">
        <f t="array" ref="L204">IFERROR(_xlfn.IFS(J204="Made",1,J204="Missed",0),"")</f>
        <v/>
      </c>
      <c r="M204" s="16" t="str">
        <f t="shared" si="27"/>
        <v/>
      </c>
      <c r="R204" s="16" t="str">
        <f t="shared" si="28"/>
        <v/>
      </c>
      <c r="S204" s="16" t="str" cm="1">
        <f t="array" ref="S204">IFERROR(_xlfn.IFS(I204="Offensive Rebound",1),"")</f>
        <v/>
      </c>
      <c r="T204" s="16" t="str" cm="1">
        <f t="array" ref="T204">IFERROR(_xlfn.IFS(I204="Defensive Rebound",1),"")</f>
        <v/>
      </c>
      <c r="U204" s="16" t="str" cm="1">
        <f t="array" ref="U204">IFERROR(_xlfn.IFS(I204="Assist",1),"")</f>
        <v/>
      </c>
      <c r="V204" s="16" t="str" cm="1">
        <f t="array" ref="V204">IFERROR(_xlfn.IFS(I204="Turnover",1),"")</f>
        <v/>
      </c>
      <c r="W204" s="16" t="str" cm="1">
        <f t="array" ref="W204">IFERROR(_xlfn.IFS(I204="Steal",1),"")</f>
        <v/>
      </c>
      <c r="X204" s="16" t="str" cm="1">
        <f t="array" ref="X204">IFERROR(_xlfn.IFS(I204="Block",1),"")</f>
        <v/>
      </c>
      <c r="Y204" s="16" t="str" cm="1">
        <f t="array" ref="Y204">IFERROR(_xlfn.IFS(I204="Block Received",1),"")</f>
        <v/>
      </c>
      <c r="Z204" s="16" t="str" cm="1">
        <f t="array" ref="Z204">IFERROR(_xlfn.IFS(I204="Foul",1,I204="Foul Technical",1,I204="Offensive Foul",1),"")</f>
        <v/>
      </c>
      <c r="AA204" s="16" t="str" cm="1">
        <f t="array" ref="AA204">IFERROR(_xlfn.IFS(I204="Foul Received",1),"")</f>
        <v/>
      </c>
      <c r="AB204" s="49" cm="1">
        <f t="array" ref="AB204">IFERROR(_xlfn.IFS(I204="Starting lineup",C204,I204="Substitution - In",C204),"")</f>
        <v>6.9444444444444441E-3</v>
      </c>
      <c r="AC204" s="46" t="str" cm="1">
        <f t="array" ref="AC204">IFERROR(_xlfn.IFS(I204="Finishing lineup",C204,I204="Substitution - Out",C204),"")</f>
        <v/>
      </c>
      <c r="AE204" s="50" t="str" cm="1">
        <f t="array" ref="AE204">IF(AC204&lt;&gt;"",LOOKUP(2,1/((G$2:G203=G204)*(AB$2:AB203&lt;&gt;"")),AB$2:AB203)-AC204,"")</f>
        <v/>
      </c>
    </row>
    <row r="205" spans="1:31" hidden="1" x14ac:dyDescent="0.35">
      <c r="A205" s="16">
        <v>3</v>
      </c>
      <c r="B205" s="19">
        <v>199</v>
      </c>
      <c r="C205" s="46">
        <v>6.9444444444444441E-3</v>
      </c>
      <c r="D205" s="16">
        <f t="shared" si="29"/>
        <v>10</v>
      </c>
      <c r="E205" s="16">
        <f t="shared" si="30"/>
        <v>0</v>
      </c>
      <c r="F205" s="16" t="s">
        <v>16</v>
      </c>
      <c r="G205" s="16" t="s">
        <v>43</v>
      </c>
      <c r="H205" s="16" t="str">
        <f>_xlfn.XLOOKUP(G205,'1-Players'!$A$2:$A$27,'1-Players'!$D$2:$D$27,"")</f>
        <v>Cameron Krutwig</v>
      </c>
      <c r="I205" s="16" t="s">
        <v>81</v>
      </c>
      <c r="K205" s="16" t="str" cm="1">
        <f t="array" ref="K205">IFERROR(_xlfn.IFS(I205="Free Throw",1,I205="2-Point Shot",2,I205="Dunk",2,I205="3-Point Shot",3),"")</f>
        <v/>
      </c>
      <c r="L205" s="16" t="str" cm="1">
        <f t="array" ref="L205">IFERROR(_xlfn.IFS(J205="Made",1,J205="Missed",0),"")</f>
        <v/>
      </c>
      <c r="M205" s="16" t="str">
        <f t="shared" si="27"/>
        <v/>
      </c>
      <c r="R205" s="16" t="str">
        <f t="shared" si="28"/>
        <v/>
      </c>
      <c r="S205" s="16" t="str" cm="1">
        <f t="array" ref="S205">IFERROR(_xlfn.IFS(I205="Offensive Rebound",1),"")</f>
        <v/>
      </c>
      <c r="T205" s="16" t="str" cm="1">
        <f t="array" ref="T205">IFERROR(_xlfn.IFS(I205="Defensive Rebound",1),"")</f>
        <v/>
      </c>
      <c r="U205" s="16" t="str" cm="1">
        <f t="array" ref="U205">IFERROR(_xlfn.IFS(I205="Assist",1),"")</f>
        <v/>
      </c>
      <c r="V205" s="16" t="str" cm="1">
        <f t="array" ref="V205">IFERROR(_xlfn.IFS(I205="Turnover",1),"")</f>
        <v/>
      </c>
      <c r="W205" s="16" t="str" cm="1">
        <f t="array" ref="W205">IFERROR(_xlfn.IFS(I205="Steal",1),"")</f>
        <v/>
      </c>
      <c r="X205" s="16" t="str" cm="1">
        <f t="array" ref="X205">IFERROR(_xlfn.IFS(I205="Block",1),"")</f>
        <v/>
      </c>
      <c r="Y205" s="16" t="str" cm="1">
        <f t="array" ref="Y205">IFERROR(_xlfn.IFS(I205="Block Received",1),"")</f>
        <v/>
      </c>
      <c r="Z205" s="16" t="str" cm="1">
        <f t="array" ref="Z205">IFERROR(_xlfn.IFS(I205="Foul",1,I205="Foul Technical",1,I205="Offensive Foul",1),"")</f>
        <v/>
      </c>
      <c r="AA205" s="16" t="str" cm="1">
        <f t="array" ref="AA205">IFERROR(_xlfn.IFS(I205="Foul Received",1),"")</f>
        <v/>
      </c>
      <c r="AB205" s="49" cm="1">
        <f t="array" ref="AB205">IFERROR(_xlfn.IFS(I205="Starting lineup",C205,I205="Substitution - In",C205),"")</f>
        <v>6.9444444444444441E-3</v>
      </c>
      <c r="AC205" s="46" t="str" cm="1">
        <f t="array" ref="AC205">IFERROR(_xlfn.IFS(I205="Finishing lineup",C205,I205="Substitution - Out",C205),"")</f>
        <v/>
      </c>
      <c r="AE205" s="50" t="str" cm="1">
        <f t="array" ref="AE205">IF(AC205&lt;&gt;"",LOOKUP(2,1/((G$2:G204=G205)*(AB$2:AB204&lt;&gt;"")),AB$2:AB204)-AC205,"")</f>
        <v/>
      </c>
    </row>
    <row r="206" spans="1:31" hidden="1" x14ac:dyDescent="0.35">
      <c r="A206" s="16">
        <v>3</v>
      </c>
      <c r="B206" s="19">
        <v>200</v>
      </c>
      <c r="C206" s="46">
        <v>6.9444444444444441E-3</v>
      </c>
      <c r="D206" s="16">
        <f t="shared" si="29"/>
        <v>10</v>
      </c>
      <c r="E206" s="16">
        <f t="shared" si="30"/>
        <v>0</v>
      </c>
      <c r="F206" s="16" t="s">
        <v>46</v>
      </c>
      <c r="G206" s="16" t="s">
        <v>9</v>
      </c>
      <c r="H206" s="16" t="str">
        <f>_xlfn.XLOOKUP(G206,'1-Players'!$A$2:$A$27,'1-Players'!$D$2:$D$27,"")</f>
        <v>Agustín Ubal</v>
      </c>
      <c r="I206" s="16" t="s">
        <v>81</v>
      </c>
      <c r="K206" s="16" t="str" cm="1">
        <f t="array" ref="K206">IFERROR(_xlfn.IFS(I206="Free Throw",1,I206="2-Point Shot",2,I206="Dunk",2,I206="3-Point Shot",3),"")</f>
        <v/>
      </c>
      <c r="L206" s="16" t="str" cm="1">
        <f t="array" ref="L206">IFERROR(_xlfn.IFS(J206="Made",1,J206="Missed",0),"")</f>
        <v/>
      </c>
      <c r="M206" s="16" t="str">
        <f t="shared" si="27"/>
        <v/>
      </c>
      <c r="R206" s="16" t="str">
        <f t="shared" si="28"/>
        <v/>
      </c>
      <c r="S206" s="16" t="str" cm="1">
        <f t="array" ref="S206">IFERROR(_xlfn.IFS(I206="Offensive Rebound",1),"")</f>
        <v/>
      </c>
      <c r="T206" s="16" t="str" cm="1">
        <f t="array" ref="T206">IFERROR(_xlfn.IFS(I206="Defensive Rebound",1),"")</f>
        <v/>
      </c>
      <c r="U206" s="16" t="str" cm="1">
        <f t="array" ref="U206">IFERROR(_xlfn.IFS(I206="Assist",1),"")</f>
        <v/>
      </c>
      <c r="V206" s="16" t="str" cm="1">
        <f t="array" ref="V206">IFERROR(_xlfn.IFS(I206="Turnover",1),"")</f>
        <v/>
      </c>
      <c r="W206" s="16" t="str" cm="1">
        <f t="array" ref="W206">IFERROR(_xlfn.IFS(I206="Steal",1),"")</f>
        <v/>
      </c>
      <c r="X206" s="16" t="str" cm="1">
        <f t="array" ref="X206">IFERROR(_xlfn.IFS(I206="Block",1),"")</f>
        <v/>
      </c>
      <c r="Y206" s="16" t="str" cm="1">
        <f t="array" ref="Y206">IFERROR(_xlfn.IFS(I206="Block Received",1),"")</f>
        <v/>
      </c>
      <c r="Z206" s="16" t="str" cm="1">
        <f t="array" ref="Z206">IFERROR(_xlfn.IFS(I206="Foul",1,I206="Foul Technical",1,I206="Offensive Foul",1),"")</f>
        <v/>
      </c>
      <c r="AA206" s="16" t="str" cm="1">
        <f t="array" ref="AA206">IFERROR(_xlfn.IFS(I206="Foul Received",1),"")</f>
        <v/>
      </c>
      <c r="AB206" s="49" cm="1">
        <f t="array" ref="AB206">IFERROR(_xlfn.IFS(I206="Starting lineup",C206,I206="Substitution - In",C206),"")</f>
        <v>6.9444444444444441E-3</v>
      </c>
      <c r="AC206" s="46" t="str" cm="1">
        <f t="array" ref="AC206">IFERROR(_xlfn.IFS(I206="Finishing lineup",C206,I206="Substitution - Out",C206),"")</f>
        <v/>
      </c>
      <c r="AE206" s="50" t="str" cm="1">
        <f t="array" ref="AE206">IF(AC206&lt;&gt;"",LOOKUP(2,1/((G$2:G205=G206)*(AB$2:AB205&lt;&gt;"")),AB$2:AB205)-AC206,"")</f>
        <v/>
      </c>
    </row>
    <row r="207" spans="1:31" hidden="1" x14ac:dyDescent="0.35">
      <c r="A207" s="16">
        <v>3</v>
      </c>
      <c r="B207" s="19">
        <v>201</v>
      </c>
      <c r="C207" s="46">
        <v>6.9444444444444441E-3</v>
      </c>
      <c r="D207" s="16">
        <f t="shared" si="29"/>
        <v>10</v>
      </c>
      <c r="E207" s="16">
        <f t="shared" si="30"/>
        <v>0</v>
      </c>
      <c r="F207" s="16" t="s">
        <v>46</v>
      </c>
      <c r="G207" s="16" t="s">
        <v>11</v>
      </c>
      <c r="H207" s="16" t="str">
        <f>_xlfn.XLOOKUP(G207,'1-Players'!$A$2:$A$27,'1-Players'!$D$2:$D$27,"")</f>
        <v>Marcis Steinbergs</v>
      </c>
      <c r="I207" s="16" t="s">
        <v>81</v>
      </c>
      <c r="K207" s="16" t="str" cm="1">
        <f t="array" ref="K207">IFERROR(_xlfn.IFS(I207="Free Throw",1,I207="2-Point Shot",2,I207="Dunk",2,I207="3-Point Shot",3),"")</f>
        <v/>
      </c>
      <c r="L207" s="16" t="str" cm="1">
        <f t="array" ref="L207">IFERROR(_xlfn.IFS(J207="Made",1,J207="Missed",0),"")</f>
        <v/>
      </c>
      <c r="M207" s="16" t="str">
        <f t="shared" si="27"/>
        <v/>
      </c>
      <c r="R207" s="16" t="str">
        <f t="shared" si="28"/>
        <v/>
      </c>
      <c r="S207" s="16" t="str" cm="1">
        <f t="array" ref="S207">IFERROR(_xlfn.IFS(I207="Offensive Rebound",1),"")</f>
        <v/>
      </c>
      <c r="T207" s="16" t="str" cm="1">
        <f t="array" ref="T207">IFERROR(_xlfn.IFS(I207="Defensive Rebound",1),"")</f>
        <v/>
      </c>
      <c r="U207" s="16" t="str" cm="1">
        <f t="array" ref="U207">IFERROR(_xlfn.IFS(I207="Assist",1),"")</f>
        <v/>
      </c>
      <c r="V207" s="16" t="str" cm="1">
        <f t="array" ref="V207">IFERROR(_xlfn.IFS(I207="Turnover",1),"")</f>
        <v/>
      </c>
      <c r="W207" s="16" t="str" cm="1">
        <f t="array" ref="W207">IFERROR(_xlfn.IFS(I207="Steal",1),"")</f>
        <v/>
      </c>
      <c r="X207" s="16" t="str" cm="1">
        <f t="array" ref="X207">IFERROR(_xlfn.IFS(I207="Block",1),"")</f>
        <v/>
      </c>
      <c r="Y207" s="16" t="str" cm="1">
        <f t="array" ref="Y207">IFERROR(_xlfn.IFS(I207="Block Received",1),"")</f>
        <v/>
      </c>
      <c r="Z207" s="16" t="str" cm="1">
        <f t="array" ref="Z207">IFERROR(_xlfn.IFS(I207="Foul",1,I207="Foul Technical",1,I207="Offensive Foul",1),"")</f>
        <v/>
      </c>
      <c r="AA207" s="16" t="str" cm="1">
        <f t="array" ref="AA207">IFERROR(_xlfn.IFS(I207="Foul Received",1),"")</f>
        <v/>
      </c>
      <c r="AB207" s="49" cm="1">
        <f t="array" ref="AB207">IFERROR(_xlfn.IFS(I207="Starting lineup",C207,I207="Substitution - In",C207),"")</f>
        <v>6.9444444444444441E-3</v>
      </c>
      <c r="AC207" s="46" t="str" cm="1">
        <f t="array" ref="AC207">IFERROR(_xlfn.IFS(I207="Finishing lineup",C207,I207="Substitution - Out",C207),"")</f>
        <v/>
      </c>
      <c r="AE207" s="50" t="str" cm="1">
        <f t="array" ref="AE207">IF(AC207&lt;&gt;"",LOOKUP(2,1/((G$2:G206=G207)*(AB$2:AB206&lt;&gt;"")),AB$2:AB206)-AC207,"")</f>
        <v/>
      </c>
    </row>
    <row r="208" spans="1:31" hidden="1" x14ac:dyDescent="0.35">
      <c r="A208" s="16">
        <v>3</v>
      </c>
      <c r="B208" s="19">
        <v>202</v>
      </c>
      <c r="C208" s="46">
        <v>6.9444444444444441E-3</v>
      </c>
      <c r="D208" s="16">
        <f t="shared" si="29"/>
        <v>10</v>
      </c>
      <c r="E208" s="16">
        <f t="shared" si="30"/>
        <v>0</v>
      </c>
      <c r="F208" s="16" t="s">
        <v>46</v>
      </c>
      <c r="G208" s="16" t="s">
        <v>35</v>
      </c>
      <c r="H208" s="16" t="str">
        <f>_xlfn.XLOOKUP(G208,'1-Players'!$A$2:$A$27,'1-Players'!$D$2:$D$27,"")</f>
        <v>Grant Golden</v>
      </c>
      <c r="I208" s="16" t="s">
        <v>81</v>
      </c>
      <c r="K208" s="16" t="str" cm="1">
        <f t="array" ref="K208">IFERROR(_xlfn.IFS(I208="Free Throw",1,I208="2-Point Shot",2,I208="Dunk",2,I208="3-Point Shot",3),"")</f>
        <v/>
      </c>
      <c r="L208" s="16" t="str" cm="1">
        <f t="array" ref="L208">IFERROR(_xlfn.IFS(J208="Made",1,J208="Missed",0),"")</f>
        <v/>
      </c>
      <c r="M208" s="16" t="str">
        <f t="shared" si="27"/>
        <v/>
      </c>
      <c r="R208" s="16" t="str">
        <f t="shared" si="28"/>
        <v/>
      </c>
      <c r="S208" s="16" t="str" cm="1">
        <f t="array" ref="S208">IFERROR(_xlfn.IFS(I208="Offensive Rebound",1),"")</f>
        <v/>
      </c>
      <c r="T208" s="16" t="str" cm="1">
        <f t="array" ref="T208">IFERROR(_xlfn.IFS(I208="Defensive Rebound",1),"")</f>
        <v/>
      </c>
      <c r="U208" s="16" t="str" cm="1">
        <f t="array" ref="U208">IFERROR(_xlfn.IFS(I208="Assist",1),"")</f>
        <v/>
      </c>
      <c r="V208" s="16" t="str" cm="1">
        <f t="array" ref="V208">IFERROR(_xlfn.IFS(I208="Turnover",1),"")</f>
        <v/>
      </c>
      <c r="W208" s="16" t="str" cm="1">
        <f t="array" ref="W208">IFERROR(_xlfn.IFS(I208="Steal",1),"")</f>
        <v/>
      </c>
      <c r="X208" s="16" t="str" cm="1">
        <f t="array" ref="X208">IFERROR(_xlfn.IFS(I208="Block",1),"")</f>
        <v/>
      </c>
      <c r="Y208" s="16" t="str" cm="1">
        <f t="array" ref="Y208">IFERROR(_xlfn.IFS(I208="Block Received",1),"")</f>
        <v/>
      </c>
      <c r="Z208" s="16" t="str" cm="1">
        <f t="array" ref="Z208">IFERROR(_xlfn.IFS(I208="Foul",1,I208="Foul Technical",1,I208="Offensive Foul",1),"")</f>
        <v/>
      </c>
      <c r="AA208" s="16" t="str" cm="1">
        <f t="array" ref="AA208">IFERROR(_xlfn.IFS(I208="Foul Received",1),"")</f>
        <v/>
      </c>
      <c r="AB208" s="49" cm="1">
        <f t="array" ref="AB208">IFERROR(_xlfn.IFS(I208="Starting lineup",C208,I208="Substitution - In",C208),"")</f>
        <v>6.9444444444444441E-3</v>
      </c>
      <c r="AC208" s="46" t="str" cm="1">
        <f t="array" ref="AC208">IFERROR(_xlfn.IFS(I208="Finishing lineup",C208,I208="Substitution - Out",C208),"")</f>
        <v/>
      </c>
      <c r="AE208" s="50" t="str" cm="1">
        <f t="array" ref="AE208">IF(AC208&lt;&gt;"",LOOKUP(2,1/((G$2:G207=G208)*(AB$2:AB207&lt;&gt;"")),AB$2:AB207)-AC208,"")</f>
        <v/>
      </c>
    </row>
    <row r="209" spans="1:31" hidden="1" x14ac:dyDescent="0.35">
      <c r="A209" s="16">
        <v>3</v>
      </c>
      <c r="B209" s="19">
        <v>203</v>
      </c>
      <c r="C209" s="46">
        <v>6.9444444444444441E-3</v>
      </c>
      <c r="D209" s="16">
        <f t="shared" si="29"/>
        <v>10</v>
      </c>
      <c r="E209" s="16">
        <f t="shared" si="30"/>
        <v>0</v>
      </c>
      <c r="F209" s="16" t="s">
        <v>46</v>
      </c>
      <c r="G209" s="16" t="s">
        <v>68</v>
      </c>
      <c r="H209" s="16" t="str">
        <f>_xlfn.XLOOKUP(G209,'1-Players'!$A$2:$A$27,'1-Players'!$D$2:$D$27,"")</f>
        <v>Dani Pérez</v>
      </c>
      <c r="I209" s="16" t="s">
        <v>81</v>
      </c>
      <c r="K209" s="16" t="str" cm="1">
        <f t="array" ref="K209">IFERROR(_xlfn.IFS(I209="Free Throw",1,I209="2-Point Shot",2,I209="Dunk",2,I209="3-Point Shot",3),"")</f>
        <v/>
      </c>
      <c r="L209" s="16" t="str" cm="1">
        <f t="array" ref="L209">IFERROR(_xlfn.IFS(J209="Made",1,J209="Missed",0),"")</f>
        <v/>
      </c>
      <c r="M209" s="16" t="str">
        <f t="shared" si="27"/>
        <v/>
      </c>
      <c r="R209" s="16" t="str">
        <f t="shared" si="28"/>
        <v/>
      </c>
      <c r="S209" s="16" t="str" cm="1">
        <f t="array" ref="S209">IFERROR(_xlfn.IFS(I209="Offensive Rebound",1),"")</f>
        <v/>
      </c>
      <c r="T209" s="16" t="str" cm="1">
        <f t="array" ref="T209">IFERROR(_xlfn.IFS(I209="Defensive Rebound",1),"")</f>
        <v/>
      </c>
      <c r="U209" s="16" t="str" cm="1">
        <f t="array" ref="U209">IFERROR(_xlfn.IFS(I209="Assist",1),"")</f>
        <v/>
      </c>
      <c r="V209" s="16" t="str" cm="1">
        <f t="array" ref="V209">IFERROR(_xlfn.IFS(I209="Turnover",1),"")</f>
        <v/>
      </c>
      <c r="W209" s="16" t="str" cm="1">
        <f t="array" ref="W209">IFERROR(_xlfn.IFS(I209="Steal",1),"")</f>
        <v/>
      </c>
      <c r="X209" s="16" t="str" cm="1">
        <f t="array" ref="X209">IFERROR(_xlfn.IFS(I209="Block",1),"")</f>
        <v/>
      </c>
      <c r="Y209" s="16" t="str" cm="1">
        <f t="array" ref="Y209">IFERROR(_xlfn.IFS(I209="Block Received",1),"")</f>
        <v/>
      </c>
      <c r="Z209" s="16" t="str" cm="1">
        <f t="array" ref="Z209">IFERROR(_xlfn.IFS(I209="Foul",1,I209="Foul Technical",1,I209="Offensive Foul",1),"")</f>
        <v/>
      </c>
      <c r="AA209" s="16" t="str" cm="1">
        <f t="array" ref="AA209">IFERROR(_xlfn.IFS(I209="Foul Received",1),"")</f>
        <v/>
      </c>
      <c r="AB209" s="49" cm="1">
        <f t="array" ref="AB209">IFERROR(_xlfn.IFS(I209="Starting lineup",C209,I209="Substitution - In",C209),"")</f>
        <v>6.9444444444444441E-3</v>
      </c>
      <c r="AC209" s="46" t="str" cm="1">
        <f t="array" ref="AC209">IFERROR(_xlfn.IFS(I209="Finishing lineup",C209,I209="Substitution - Out",C209),"")</f>
        <v/>
      </c>
      <c r="AE209" s="50" t="str" cm="1">
        <f t="array" ref="AE209">IF(AC209&lt;&gt;"",LOOKUP(2,1/((G$2:G208=G209)*(AB$2:AB208&lt;&gt;"")),AB$2:AB208)-AC209,"")</f>
        <v/>
      </c>
    </row>
    <row r="210" spans="1:31" hidden="1" x14ac:dyDescent="0.35">
      <c r="A210" s="16">
        <v>3</v>
      </c>
      <c r="B210" s="19">
        <v>204</v>
      </c>
      <c r="C210" s="46">
        <v>6.9444444444444441E-3</v>
      </c>
      <c r="D210" s="16">
        <f t="shared" si="29"/>
        <v>10</v>
      </c>
      <c r="E210" s="16">
        <f t="shared" si="30"/>
        <v>0</v>
      </c>
      <c r="F210" s="16" t="s">
        <v>46</v>
      </c>
      <c r="G210" s="16" t="s">
        <v>69</v>
      </c>
      <c r="H210" s="16" t="str">
        <f>_xlfn.XLOOKUP(G210,'1-Players'!$A$2:$A$27,'1-Players'!$D$2:$D$27,"")</f>
        <v>Alfonso Plummer</v>
      </c>
      <c r="I210" s="16" t="s">
        <v>81</v>
      </c>
      <c r="K210" s="16" t="str" cm="1">
        <f t="array" ref="K210">IFERROR(_xlfn.IFS(I210="Free Throw",1,I210="2-Point Shot",2,I210="Dunk",2,I210="3-Point Shot",3),"")</f>
        <v/>
      </c>
      <c r="L210" s="16" t="str" cm="1">
        <f t="array" ref="L210">IFERROR(_xlfn.IFS(J210="Made",1,J210="Missed",0),"")</f>
        <v/>
      </c>
      <c r="M210" s="16" t="str">
        <f t="shared" si="27"/>
        <v/>
      </c>
      <c r="R210" s="16" t="str">
        <f t="shared" si="28"/>
        <v/>
      </c>
      <c r="S210" s="16" t="str" cm="1">
        <f t="array" ref="S210">IFERROR(_xlfn.IFS(I210="Offensive Rebound",1),"")</f>
        <v/>
      </c>
      <c r="T210" s="16" t="str" cm="1">
        <f t="array" ref="T210">IFERROR(_xlfn.IFS(I210="Defensive Rebound",1),"")</f>
        <v/>
      </c>
      <c r="U210" s="16" t="str" cm="1">
        <f t="array" ref="U210">IFERROR(_xlfn.IFS(I210="Assist",1),"")</f>
        <v/>
      </c>
      <c r="V210" s="16" t="str" cm="1">
        <f t="array" ref="V210">IFERROR(_xlfn.IFS(I210="Turnover",1),"")</f>
        <v/>
      </c>
      <c r="W210" s="16" t="str" cm="1">
        <f t="array" ref="W210">IFERROR(_xlfn.IFS(I210="Steal",1),"")</f>
        <v/>
      </c>
      <c r="X210" s="16" t="str" cm="1">
        <f t="array" ref="X210">IFERROR(_xlfn.IFS(I210="Block",1),"")</f>
        <v/>
      </c>
      <c r="Y210" s="16" t="str" cm="1">
        <f t="array" ref="Y210">IFERROR(_xlfn.IFS(I210="Block Received",1),"")</f>
        <v/>
      </c>
      <c r="Z210" s="16" t="str" cm="1">
        <f t="array" ref="Z210">IFERROR(_xlfn.IFS(I210="Foul",1,I210="Foul Technical",1,I210="Offensive Foul",1),"")</f>
        <v/>
      </c>
      <c r="AA210" s="16" t="str" cm="1">
        <f t="array" ref="AA210">IFERROR(_xlfn.IFS(I210="Foul Received",1),"")</f>
        <v/>
      </c>
      <c r="AB210" s="49" cm="1">
        <f t="array" ref="AB210">IFERROR(_xlfn.IFS(I210="Starting lineup",C210,I210="Substitution - In",C210),"")</f>
        <v>6.9444444444444441E-3</v>
      </c>
      <c r="AC210" s="46" t="str" cm="1">
        <f t="array" ref="AC210">IFERROR(_xlfn.IFS(I210="Finishing lineup",C210,I210="Substitution - Out",C210),"")</f>
        <v/>
      </c>
      <c r="AE210" s="50" t="str" cm="1">
        <f t="array" ref="AE210">IF(AC210&lt;&gt;"",LOOKUP(2,1/((G$2:G209=G210)*(AB$2:AB209&lt;&gt;"")),AB$2:AB209)-AC210,"")</f>
        <v/>
      </c>
    </row>
    <row r="211" spans="1:31" hidden="1" x14ac:dyDescent="0.35">
      <c r="A211" s="16">
        <v>3</v>
      </c>
      <c r="B211" s="19">
        <v>205</v>
      </c>
      <c r="C211" s="46">
        <v>6.828703703703704E-3</v>
      </c>
      <c r="D211" s="16">
        <f t="shared" si="29"/>
        <v>9</v>
      </c>
      <c r="E211" s="16">
        <f t="shared" si="30"/>
        <v>50</v>
      </c>
      <c r="F211" s="19" t="s">
        <v>46</v>
      </c>
      <c r="G211" s="16" t="s">
        <v>68</v>
      </c>
      <c r="H211" s="16" t="str">
        <f>_xlfn.XLOOKUP(G211,'1-Players'!$A$2:$A$27,'1-Players'!$D$2:$D$27,"")</f>
        <v>Dani Pérez</v>
      </c>
      <c r="I211" s="19" t="s">
        <v>83</v>
      </c>
      <c r="J211" s="19" t="s">
        <v>60</v>
      </c>
      <c r="K211" s="16" cm="1">
        <f t="array" ref="K211">IFERROR(_xlfn.IFS(I211="Free Throw",1,I211="2-Point Shot",2,I211="Dunk",2,I211="3-Point Shot",3),"")</f>
        <v>3</v>
      </c>
      <c r="L211" s="16" cm="1">
        <f t="array" ref="L211">IFERROR(_xlfn.IFS(J211="Made",1,J211="Missed",0),"")</f>
        <v>1</v>
      </c>
      <c r="M211" s="16">
        <f t="shared" si="27"/>
        <v>3</v>
      </c>
      <c r="R211" s="16" t="str">
        <f t="shared" si="28"/>
        <v>N</v>
      </c>
      <c r="S211" s="16" t="str" cm="1">
        <f t="array" ref="S211">IFERROR(_xlfn.IFS(I211="Offensive Rebound",1),"")</f>
        <v/>
      </c>
      <c r="T211" s="16" t="str" cm="1">
        <f t="array" ref="T211">IFERROR(_xlfn.IFS(I211="Defensive Rebound",1),"")</f>
        <v/>
      </c>
      <c r="U211" s="16" t="str" cm="1">
        <f t="array" ref="U211">IFERROR(_xlfn.IFS(I211="Assist",1),"")</f>
        <v/>
      </c>
      <c r="V211" s="16" t="str" cm="1">
        <f t="array" ref="V211">IFERROR(_xlfn.IFS(I211="Turnover",1),"")</f>
        <v/>
      </c>
      <c r="W211" s="16" t="str" cm="1">
        <f t="array" ref="W211">IFERROR(_xlfn.IFS(I211="Steal",1),"")</f>
        <v/>
      </c>
      <c r="X211" s="16" t="str" cm="1">
        <f t="array" ref="X211">IFERROR(_xlfn.IFS(I211="Block",1),"")</f>
        <v/>
      </c>
      <c r="Y211" s="16" t="str" cm="1">
        <f t="array" ref="Y211">IFERROR(_xlfn.IFS(I211="Block Received",1),"")</f>
        <v/>
      </c>
      <c r="Z211" s="16" t="str" cm="1">
        <f t="array" ref="Z211">IFERROR(_xlfn.IFS(I211="Foul",1,I211="Foul Technical",1,I211="Offensive Foul",1),"")</f>
        <v/>
      </c>
      <c r="AA211" s="16" t="str" cm="1">
        <f t="array" ref="AA211">IFERROR(_xlfn.IFS(I211="Foul Received",1),"")</f>
        <v/>
      </c>
      <c r="AB211" s="49" t="str" cm="1">
        <f t="array" ref="AB211">IFERROR(_xlfn.IFS(I211="Starting lineup",C211,I211="Substitution - In",C211),"")</f>
        <v/>
      </c>
      <c r="AC211" s="46" t="str" cm="1">
        <f t="array" ref="AC211">IFERROR(_xlfn.IFS(I211="Finishing lineup",C211,I211="Substitution - Out",C211),"")</f>
        <v/>
      </c>
      <c r="AE211" s="50" t="str" cm="1">
        <f t="array" ref="AE211">IF(AC211&lt;&gt;"",LOOKUP(2,1/((G$2:G210=G211)*(AB$2:AB210&lt;&gt;"")),AB$2:AB210)-AC211,"")</f>
        <v/>
      </c>
    </row>
    <row r="212" spans="1:31" hidden="1" x14ac:dyDescent="0.35">
      <c r="A212" s="16">
        <v>3</v>
      </c>
      <c r="B212" s="19">
        <v>206</v>
      </c>
      <c r="C212" s="46">
        <v>0</v>
      </c>
      <c r="D212" s="16">
        <f t="shared" si="29"/>
        <v>0</v>
      </c>
      <c r="E212" s="16">
        <f t="shared" si="30"/>
        <v>0</v>
      </c>
      <c r="F212" s="19" t="s">
        <v>16</v>
      </c>
      <c r="G212" s="16" t="s">
        <v>18</v>
      </c>
      <c r="H212" s="16" t="str">
        <f>_xlfn.XLOOKUP(G212,'1-Players'!$A$2:$A$27,'1-Players'!$D$2:$D$27,"")</f>
        <v>Corey Walden</v>
      </c>
      <c r="I212" s="16" t="s">
        <v>137</v>
      </c>
      <c r="K212" s="16" t="str" cm="1">
        <f t="array" ref="K212">IFERROR(_xlfn.IFS(I212="Free Throw",1,I212="2-Point Shot",2,I212="Dunk",2,I212="3-Point Shot",3),"")</f>
        <v/>
      </c>
      <c r="L212" s="16" t="str" cm="1">
        <f t="array" ref="L212">IFERROR(_xlfn.IFS(J212="Made",1,J212="Missed",0),"")</f>
        <v/>
      </c>
      <c r="M212" s="16" t="str">
        <f t="shared" si="27"/>
        <v/>
      </c>
      <c r="R212" s="16" t="str">
        <f t="shared" si="28"/>
        <v/>
      </c>
      <c r="S212" s="16" t="str" cm="1">
        <f t="array" ref="S212">IFERROR(_xlfn.IFS(I212="Offensive Rebound",1),"")</f>
        <v/>
      </c>
      <c r="T212" s="16" t="str" cm="1">
        <f t="array" ref="T212">IFERROR(_xlfn.IFS(I212="Defensive Rebound",1),"")</f>
        <v/>
      </c>
      <c r="U212" s="16" t="str" cm="1">
        <f t="array" ref="U212">IFERROR(_xlfn.IFS(I212="Assist",1),"")</f>
        <v/>
      </c>
      <c r="V212" s="16" t="str" cm="1">
        <f t="array" ref="V212">IFERROR(_xlfn.IFS(I212="Turnover",1),"")</f>
        <v/>
      </c>
      <c r="W212" s="16" t="str" cm="1">
        <f t="array" ref="W212">IFERROR(_xlfn.IFS(I212="Steal",1),"")</f>
        <v/>
      </c>
      <c r="X212" s="16" t="str" cm="1">
        <f t="array" ref="X212">IFERROR(_xlfn.IFS(I212="Block",1),"")</f>
        <v/>
      </c>
      <c r="Y212" s="16" t="str" cm="1">
        <f t="array" ref="Y212">IFERROR(_xlfn.IFS(I212="Block Received",1),"")</f>
        <v/>
      </c>
      <c r="Z212" s="16" t="str" cm="1">
        <f t="array" ref="Z212">IFERROR(_xlfn.IFS(I212="Foul",1,I212="Foul Technical",1,I212="Offensive Foul",1),"")</f>
        <v/>
      </c>
      <c r="AA212" s="16" t="str" cm="1">
        <f t="array" ref="AA212">IFERROR(_xlfn.IFS(I212="Foul Received",1),"")</f>
        <v/>
      </c>
      <c r="AB212" s="49" t="str" cm="1">
        <f t="array" ref="AB212">IFERROR(_xlfn.IFS(I212="Starting lineup",C212,I212="Substitution - In",C212),"")</f>
        <v/>
      </c>
      <c r="AC212" s="46" cm="1">
        <f t="array" ref="AC212">IFERROR(_xlfn.IFS(I212="Finishing lineup",C212,I212="Substitution - Out",C212),"")</f>
        <v>0</v>
      </c>
      <c r="AE212" s="50" cm="1">
        <f t="array" ref="AE212">IF(AC212&lt;&gt;"",LOOKUP(2,1/((G$2:G211=G212)*(AB$2:AB211&lt;&gt;"")),AB$2:AB211)-AC212,"")</f>
        <v>6.9444444444444441E-3</v>
      </c>
    </row>
    <row r="213" spans="1:31" hidden="1" x14ac:dyDescent="0.35">
      <c r="A213" s="16">
        <v>3</v>
      </c>
      <c r="B213" s="19">
        <v>207</v>
      </c>
      <c r="C213" s="46">
        <v>0</v>
      </c>
      <c r="D213" s="16">
        <f t="shared" si="29"/>
        <v>0</v>
      </c>
      <c r="E213" s="16">
        <f t="shared" si="30"/>
        <v>0</v>
      </c>
      <c r="F213" s="16" t="s">
        <v>16</v>
      </c>
      <c r="G213" s="16" t="s">
        <v>22</v>
      </c>
      <c r="H213" s="16" t="str">
        <f>_xlfn.XLOOKUP(G213,'1-Players'!$A$2:$A$27,'1-Players'!$D$2:$D$27,"")</f>
        <v>Oriol Paulí</v>
      </c>
      <c r="I213" s="16" t="s">
        <v>137</v>
      </c>
      <c r="K213" s="16" t="str" cm="1">
        <f t="array" ref="K213">IFERROR(_xlfn.IFS(I213="Free Throw",1,I213="2-Point Shot",2,I213="Dunk",2,I213="3-Point Shot",3),"")</f>
        <v/>
      </c>
      <c r="L213" s="16" t="str" cm="1">
        <f t="array" ref="L213">IFERROR(_xlfn.IFS(J213="Made",1,J213="Missed",0),"")</f>
        <v/>
      </c>
      <c r="M213" s="16" t="str">
        <f t="shared" si="27"/>
        <v/>
      </c>
      <c r="R213" s="16" t="str">
        <f t="shared" si="28"/>
        <v/>
      </c>
      <c r="S213" s="16" t="str" cm="1">
        <f t="array" ref="S213">IFERROR(_xlfn.IFS(I213="Offensive Rebound",1),"")</f>
        <v/>
      </c>
      <c r="T213" s="16" t="str" cm="1">
        <f t="array" ref="T213">IFERROR(_xlfn.IFS(I213="Defensive Rebound",1),"")</f>
        <v/>
      </c>
      <c r="U213" s="16" t="str" cm="1">
        <f t="array" ref="U213">IFERROR(_xlfn.IFS(I213="Assist",1),"")</f>
        <v/>
      </c>
      <c r="V213" s="16" t="str" cm="1">
        <f t="array" ref="V213">IFERROR(_xlfn.IFS(I213="Turnover",1),"")</f>
        <v/>
      </c>
      <c r="W213" s="16" t="str" cm="1">
        <f t="array" ref="W213">IFERROR(_xlfn.IFS(I213="Steal",1),"")</f>
        <v/>
      </c>
      <c r="X213" s="16" t="str" cm="1">
        <f t="array" ref="X213">IFERROR(_xlfn.IFS(I213="Block",1),"")</f>
        <v/>
      </c>
      <c r="Y213" s="16" t="str" cm="1">
        <f t="array" ref="Y213">IFERROR(_xlfn.IFS(I213="Block Received",1),"")</f>
        <v/>
      </c>
      <c r="Z213" s="16" t="str" cm="1">
        <f t="array" ref="Z213">IFERROR(_xlfn.IFS(I213="Foul",1,I213="Foul Technical",1,I213="Offensive Foul",1),"")</f>
        <v/>
      </c>
      <c r="AA213" s="16" t="str" cm="1">
        <f t="array" ref="AA213">IFERROR(_xlfn.IFS(I213="Foul Received",1),"")</f>
        <v/>
      </c>
      <c r="AB213" s="49" t="str" cm="1">
        <f t="array" ref="AB213">IFERROR(_xlfn.IFS(I213="Starting lineup",C213,I213="Substitution - In",C213),"")</f>
        <v/>
      </c>
      <c r="AC213" s="46" cm="1">
        <f t="array" ref="AC213">IFERROR(_xlfn.IFS(I213="Finishing lineup",C213,I213="Substitution - Out",C213),"")</f>
        <v>0</v>
      </c>
      <c r="AE213" s="50" cm="1">
        <f t="array" ref="AE213">IF(AC213&lt;&gt;"",LOOKUP(2,1/((G$2:G212=G213)*(AB$2:AB212&lt;&gt;"")),AB$2:AB212)-AC213,"")</f>
        <v>6.9444444444444441E-3</v>
      </c>
    </row>
    <row r="214" spans="1:31" hidden="1" x14ac:dyDescent="0.35">
      <c r="A214" s="16">
        <v>3</v>
      </c>
      <c r="B214" s="19">
        <v>208</v>
      </c>
      <c r="C214" s="46">
        <v>0</v>
      </c>
      <c r="D214" s="16">
        <f t="shared" si="29"/>
        <v>0</v>
      </c>
      <c r="E214" s="16">
        <f t="shared" si="30"/>
        <v>0</v>
      </c>
      <c r="F214" s="16" t="s">
        <v>16</v>
      </c>
      <c r="G214" s="16" t="s">
        <v>39</v>
      </c>
      <c r="H214" s="16" t="str">
        <f>_xlfn.XLOOKUP(G214,'1-Players'!$A$2:$A$27,'1-Players'!$D$2:$D$27,"")</f>
        <v>Millán Jiménez</v>
      </c>
      <c r="I214" s="16" t="s">
        <v>137</v>
      </c>
      <c r="K214" s="16" t="str" cm="1">
        <f t="array" ref="K214">IFERROR(_xlfn.IFS(I214="Free Throw",1,I214="2-Point Shot",2,I214="Dunk",2,I214="3-Point Shot",3),"")</f>
        <v/>
      </c>
      <c r="L214" s="16" t="str" cm="1">
        <f t="array" ref="L214">IFERROR(_xlfn.IFS(J214="Made",1,J214="Missed",0),"")</f>
        <v/>
      </c>
      <c r="M214" s="16" t="str">
        <f t="shared" si="27"/>
        <v/>
      </c>
      <c r="R214" s="16" t="str">
        <f t="shared" si="28"/>
        <v/>
      </c>
      <c r="S214" s="16" t="str" cm="1">
        <f t="array" ref="S214">IFERROR(_xlfn.IFS(I214="Offensive Rebound",1),"")</f>
        <v/>
      </c>
      <c r="T214" s="16" t="str" cm="1">
        <f t="array" ref="T214">IFERROR(_xlfn.IFS(I214="Defensive Rebound",1),"")</f>
        <v/>
      </c>
      <c r="U214" s="16" t="str" cm="1">
        <f t="array" ref="U214">IFERROR(_xlfn.IFS(I214="Assist",1),"")</f>
        <v/>
      </c>
      <c r="V214" s="16" t="str" cm="1">
        <f t="array" ref="V214">IFERROR(_xlfn.IFS(I214="Turnover",1),"")</f>
        <v/>
      </c>
      <c r="W214" s="16" t="str" cm="1">
        <f t="array" ref="W214">IFERROR(_xlfn.IFS(I214="Steal",1),"")</f>
        <v/>
      </c>
      <c r="X214" s="16" t="str" cm="1">
        <f t="array" ref="X214">IFERROR(_xlfn.IFS(I214="Block",1),"")</f>
        <v/>
      </c>
      <c r="Y214" s="16" t="str" cm="1">
        <f t="array" ref="Y214">IFERROR(_xlfn.IFS(I214="Block Received",1),"")</f>
        <v/>
      </c>
      <c r="Z214" s="16" t="str" cm="1">
        <f t="array" ref="Z214">IFERROR(_xlfn.IFS(I214="Foul",1,I214="Foul Technical",1,I214="Offensive Foul",1),"")</f>
        <v/>
      </c>
      <c r="AA214" s="16" t="str" cm="1">
        <f t="array" ref="AA214">IFERROR(_xlfn.IFS(I214="Foul Received",1),"")</f>
        <v/>
      </c>
      <c r="AB214" s="49" t="str" cm="1">
        <f t="array" ref="AB214">IFERROR(_xlfn.IFS(I214="Starting lineup",C214,I214="Substitution - In",C214),"")</f>
        <v/>
      </c>
      <c r="AC214" s="46" cm="1">
        <f t="array" ref="AC214">IFERROR(_xlfn.IFS(I214="Finishing lineup",C214,I214="Substitution - Out",C214),"")</f>
        <v>0</v>
      </c>
      <c r="AE214" s="50" cm="1">
        <f t="array" ref="AE214">IF(AC214&lt;&gt;"",LOOKUP(2,1/((G$2:G213=G214)*(AB$2:AB213&lt;&gt;"")),AB$2:AB213)-AC214,"")</f>
        <v>6.9444444444444441E-3</v>
      </c>
    </row>
    <row r="215" spans="1:31" hidden="1" x14ac:dyDescent="0.35">
      <c r="A215" s="16">
        <v>3</v>
      </c>
      <c r="B215" s="19">
        <v>209</v>
      </c>
      <c r="C215" s="46">
        <v>0</v>
      </c>
      <c r="D215" s="16">
        <f t="shared" si="29"/>
        <v>0</v>
      </c>
      <c r="E215" s="16">
        <f t="shared" si="30"/>
        <v>0</v>
      </c>
      <c r="F215" s="16" t="s">
        <v>16</v>
      </c>
      <c r="G215" s="16" t="s">
        <v>41</v>
      </c>
      <c r="H215" s="16" t="str">
        <f>_xlfn.XLOOKUP(G215,'1-Players'!$A$2:$A$27,'1-Players'!$D$2:$D$27,"")</f>
        <v>John Shurna</v>
      </c>
      <c r="I215" s="16" t="s">
        <v>137</v>
      </c>
      <c r="K215" s="16" t="str" cm="1">
        <f t="array" ref="K215">IFERROR(_xlfn.IFS(I215="Free Throw",1,I215="2-Point Shot",2,I215="Dunk",2,I215="3-Point Shot",3),"")</f>
        <v/>
      </c>
      <c r="L215" s="16" t="str" cm="1">
        <f t="array" ref="L215">IFERROR(_xlfn.IFS(J215="Made",1,J215="Missed",0),"")</f>
        <v/>
      </c>
      <c r="M215" s="16" t="str">
        <f t="shared" si="27"/>
        <v/>
      </c>
      <c r="R215" s="16" t="str">
        <f t="shared" si="28"/>
        <v/>
      </c>
      <c r="S215" s="16" t="str" cm="1">
        <f t="array" ref="S215">IFERROR(_xlfn.IFS(I215="Offensive Rebound",1),"")</f>
        <v/>
      </c>
      <c r="T215" s="16" t="str" cm="1">
        <f t="array" ref="T215">IFERROR(_xlfn.IFS(I215="Defensive Rebound",1),"")</f>
        <v/>
      </c>
      <c r="U215" s="16" t="str" cm="1">
        <f t="array" ref="U215">IFERROR(_xlfn.IFS(I215="Assist",1),"")</f>
        <v/>
      </c>
      <c r="V215" s="16" t="str" cm="1">
        <f t="array" ref="V215">IFERROR(_xlfn.IFS(I215="Turnover",1),"")</f>
        <v/>
      </c>
      <c r="W215" s="16" t="str" cm="1">
        <f t="array" ref="W215">IFERROR(_xlfn.IFS(I215="Steal",1),"")</f>
        <v/>
      </c>
      <c r="X215" s="16" t="str" cm="1">
        <f t="array" ref="X215">IFERROR(_xlfn.IFS(I215="Block",1),"")</f>
        <v/>
      </c>
      <c r="Y215" s="16" t="str" cm="1">
        <f t="array" ref="Y215">IFERROR(_xlfn.IFS(I215="Block Received",1),"")</f>
        <v/>
      </c>
      <c r="Z215" s="16" t="str" cm="1">
        <f t="array" ref="Z215">IFERROR(_xlfn.IFS(I215="Foul",1,I215="Foul Technical",1,I215="Offensive Foul",1),"")</f>
        <v/>
      </c>
      <c r="AA215" s="16" t="str" cm="1">
        <f t="array" ref="AA215">IFERROR(_xlfn.IFS(I215="Foul Received",1),"")</f>
        <v/>
      </c>
      <c r="AB215" s="49" t="str" cm="1">
        <f t="array" ref="AB215">IFERROR(_xlfn.IFS(I215="Starting lineup",C215,I215="Substitution - In",C215),"")</f>
        <v/>
      </c>
      <c r="AC215" s="46" cm="1">
        <f t="array" ref="AC215">IFERROR(_xlfn.IFS(I215="Finishing lineup",C215,I215="Substitution - Out",C215),"")</f>
        <v>0</v>
      </c>
      <c r="AE215" s="50" cm="1">
        <f t="array" ref="AE215">IF(AC215&lt;&gt;"",LOOKUP(2,1/((G$2:G214=G215)*(AB$2:AB214&lt;&gt;"")),AB$2:AB214)-AC215,"")</f>
        <v>6.9444444444444441E-3</v>
      </c>
    </row>
    <row r="216" spans="1:31" hidden="1" x14ac:dyDescent="0.35">
      <c r="A216" s="16">
        <v>3</v>
      </c>
      <c r="B216" s="19">
        <v>210</v>
      </c>
      <c r="C216" s="46">
        <v>0</v>
      </c>
      <c r="D216" s="16">
        <f t="shared" si="29"/>
        <v>0</v>
      </c>
      <c r="E216" s="16">
        <f t="shared" si="30"/>
        <v>0</v>
      </c>
      <c r="F216" s="16" t="s">
        <v>16</v>
      </c>
      <c r="G216" s="16" t="s">
        <v>43</v>
      </c>
      <c r="H216" s="16" t="str">
        <f>_xlfn.XLOOKUP(G216,'1-Players'!$A$2:$A$27,'1-Players'!$D$2:$D$27,"")</f>
        <v>Cameron Krutwig</v>
      </c>
      <c r="I216" s="16" t="s">
        <v>137</v>
      </c>
      <c r="K216" s="16" t="str" cm="1">
        <f t="array" ref="K216">IFERROR(_xlfn.IFS(I216="Free Throw",1,I216="2-Point Shot",2,I216="Dunk",2,I216="3-Point Shot",3),"")</f>
        <v/>
      </c>
      <c r="L216" s="16" t="str" cm="1">
        <f t="array" ref="L216">IFERROR(_xlfn.IFS(J216="Made",1,J216="Missed",0),"")</f>
        <v/>
      </c>
      <c r="M216" s="16" t="str">
        <f t="shared" si="27"/>
        <v/>
      </c>
      <c r="R216" s="16" t="str">
        <f t="shared" si="28"/>
        <v/>
      </c>
      <c r="S216" s="16" t="str" cm="1">
        <f t="array" ref="S216">IFERROR(_xlfn.IFS(I216="Offensive Rebound",1),"")</f>
        <v/>
      </c>
      <c r="T216" s="16" t="str" cm="1">
        <f t="array" ref="T216">IFERROR(_xlfn.IFS(I216="Defensive Rebound",1),"")</f>
        <v/>
      </c>
      <c r="U216" s="16" t="str" cm="1">
        <f t="array" ref="U216">IFERROR(_xlfn.IFS(I216="Assist",1),"")</f>
        <v/>
      </c>
      <c r="V216" s="16" t="str" cm="1">
        <f t="array" ref="V216">IFERROR(_xlfn.IFS(I216="Turnover",1),"")</f>
        <v/>
      </c>
      <c r="W216" s="16" t="str" cm="1">
        <f t="array" ref="W216">IFERROR(_xlfn.IFS(I216="Steal",1),"")</f>
        <v/>
      </c>
      <c r="X216" s="16" t="str" cm="1">
        <f t="array" ref="X216">IFERROR(_xlfn.IFS(I216="Block",1),"")</f>
        <v/>
      </c>
      <c r="Y216" s="16" t="str" cm="1">
        <f t="array" ref="Y216">IFERROR(_xlfn.IFS(I216="Block Received",1),"")</f>
        <v/>
      </c>
      <c r="Z216" s="16" t="str" cm="1">
        <f t="array" ref="Z216">IFERROR(_xlfn.IFS(I216="Foul",1,I216="Foul Technical",1,I216="Offensive Foul",1),"")</f>
        <v/>
      </c>
      <c r="AA216" s="16" t="str" cm="1">
        <f t="array" ref="AA216">IFERROR(_xlfn.IFS(I216="Foul Received",1),"")</f>
        <v/>
      </c>
      <c r="AB216" s="49" t="str" cm="1">
        <f t="array" ref="AB216">IFERROR(_xlfn.IFS(I216="Starting lineup",C216,I216="Substitution - In",C216),"")</f>
        <v/>
      </c>
      <c r="AC216" s="46" cm="1">
        <f t="array" ref="AC216">IFERROR(_xlfn.IFS(I216="Finishing lineup",C216,I216="Substitution - Out",C216),"")</f>
        <v>0</v>
      </c>
      <c r="AE216" s="50" cm="1">
        <f t="array" ref="AE216">IF(AC216&lt;&gt;"",LOOKUP(2,1/((G$2:G215=G216)*(AB$2:AB215&lt;&gt;"")),AB$2:AB215)-AC216,"")</f>
        <v>6.9444444444444441E-3</v>
      </c>
    </row>
    <row r="217" spans="1:31" hidden="1" x14ac:dyDescent="0.35">
      <c r="A217" s="16">
        <v>3</v>
      </c>
      <c r="B217" s="19">
        <v>211</v>
      </c>
      <c r="C217" s="46">
        <v>0</v>
      </c>
      <c r="D217" s="16">
        <f t="shared" si="29"/>
        <v>0</v>
      </c>
      <c r="E217" s="16">
        <f t="shared" si="30"/>
        <v>0</v>
      </c>
      <c r="F217" s="16" t="s">
        <v>46</v>
      </c>
      <c r="G217" s="16" t="s">
        <v>9</v>
      </c>
      <c r="H217" s="16" t="str">
        <f>_xlfn.XLOOKUP(G217,'1-Players'!$A$2:$A$27,'1-Players'!$D$2:$D$27,"")</f>
        <v>Agustín Ubal</v>
      </c>
      <c r="I217" s="16" t="s">
        <v>137</v>
      </c>
      <c r="K217" s="16" t="str" cm="1">
        <f t="array" ref="K217">IFERROR(_xlfn.IFS(I217="Free Throw",1,I217="2-Point Shot",2,I217="Dunk",2,I217="3-Point Shot",3),"")</f>
        <v/>
      </c>
      <c r="L217" s="16" t="str" cm="1">
        <f t="array" ref="L217">IFERROR(_xlfn.IFS(J217="Made",1,J217="Missed",0),"")</f>
        <v/>
      </c>
      <c r="M217" s="16" t="str">
        <f t="shared" si="27"/>
        <v/>
      </c>
      <c r="R217" s="16" t="str">
        <f t="shared" si="28"/>
        <v/>
      </c>
      <c r="S217" s="16" t="str" cm="1">
        <f t="array" ref="S217">IFERROR(_xlfn.IFS(I217="Offensive Rebound",1),"")</f>
        <v/>
      </c>
      <c r="T217" s="16" t="str" cm="1">
        <f t="array" ref="T217">IFERROR(_xlfn.IFS(I217="Defensive Rebound",1),"")</f>
        <v/>
      </c>
      <c r="U217" s="16" t="str" cm="1">
        <f t="array" ref="U217">IFERROR(_xlfn.IFS(I217="Assist",1),"")</f>
        <v/>
      </c>
      <c r="V217" s="16" t="str" cm="1">
        <f t="array" ref="V217">IFERROR(_xlfn.IFS(I217="Turnover",1),"")</f>
        <v/>
      </c>
      <c r="W217" s="16" t="str" cm="1">
        <f t="array" ref="W217">IFERROR(_xlfn.IFS(I217="Steal",1),"")</f>
        <v/>
      </c>
      <c r="X217" s="16" t="str" cm="1">
        <f t="array" ref="X217">IFERROR(_xlfn.IFS(I217="Block",1),"")</f>
        <v/>
      </c>
      <c r="Y217" s="16" t="str" cm="1">
        <f t="array" ref="Y217">IFERROR(_xlfn.IFS(I217="Block Received",1),"")</f>
        <v/>
      </c>
      <c r="Z217" s="16" t="str" cm="1">
        <f t="array" ref="Z217">IFERROR(_xlfn.IFS(I217="Foul",1,I217="Foul Technical",1,I217="Offensive Foul",1),"")</f>
        <v/>
      </c>
      <c r="AA217" s="16" t="str" cm="1">
        <f t="array" ref="AA217">IFERROR(_xlfn.IFS(I217="Foul Received",1),"")</f>
        <v/>
      </c>
      <c r="AB217" s="49" t="str" cm="1">
        <f t="array" ref="AB217">IFERROR(_xlfn.IFS(I217="Starting lineup",C217,I217="Substitution - In",C217),"")</f>
        <v/>
      </c>
      <c r="AC217" s="46" cm="1">
        <f t="array" ref="AC217">IFERROR(_xlfn.IFS(I217="Finishing lineup",C217,I217="Substitution - Out",C217),"")</f>
        <v>0</v>
      </c>
      <c r="AE217" s="50" cm="1">
        <f t="array" ref="AE217">IF(AC217&lt;&gt;"",LOOKUP(2,1/((G$2:G216=G217)*(AB$2:AB216&lt;&gt;"")),AB$2:AB216)-AC217,"")</f>
        <v>6.9444444444444441E-3</v>
      </c>
    </row>
    <row r="218" spans="1:31" hidden="1" x14ac:dyDescent="0.35">
      <c r="A218" s="16">
        <v>3</v>
      </c>
      <c r="B218" s="19">
        <v>212</v>
      </c>
      <c r="C218" s="46">
        <v>0</v>
      </c>
      <c r="D218" s="16">
        <f t="shared" si="29"/>
        <v>0</v>
      </c>
      <c r="E218" s="16">
        <f t="shared" si="30"/>
        <v>0</v>
      </c>
      <c r="F218" s="16" t="s">
        <v>46</v>
      </c>
      <c r="G218" s="16" t="s">
        <v>11</v>
      </c>
      <c r="H218" s="16" t="str">
        <f>_xlfn.XLOOKUP(G218,'1-Players'!$A$2:$A$27,'1-Players'!$D$2:$D$27,"")</f>
        <v>Marcis Steinbergs</v>
      </c>
      <c r="I218" s="16" t="s">
        <v>137</v>
      </c>
      <c r="K218" s="16" t="str" cm="1">
        <f t="array" ref="K218">IFERROR(_xlfn.IFS(I218="Free Throw",1,I218="2-Point Shot",2,I218="Dunk",2,I218="3-Point Shot",3),"")</f>
        <v/>
      </c>
      <c r="L218" s="16" t="str" cm="1">
        <f t="array" ref="L218">IFERROR(_xlfn.IFS(J218="Made",1,J218="Missed",0),"")</f>
        <v/>
      </c>
      <c r="M218" s="16" t="str">
        <f t="shared" si="27"/>
        <v/>
      </c>
      <c r="R218" s="16" t="str">
        <f t="shared" si="28"/>
        <v/>
      </c>
      <c r="S218" s="16" t="str" cm="1">
        <f t="array" ref="S218">IFERROR(_xlfn.IFS(I218="Offensive Rebound",1),"")</f>
        <v/>
      </c>
      <c r="T218" s="16" t="str" cm="1">
        <f t="array" ref="T218">IFERROR(_xlfn.IFS(I218="Defensive Rebound",1),"")</f>
        <v/>
      </c>
      <c r="U218" s="16" t="str" cm="1">
        <f t="array" ref="U218">IFERROR(_xlfn.IFS(I218="Assist",1),"")</f>
        <v/>
      </c>
      <c r="V218" s="16" t="str" cm="1">
        <f t="array" ref="V218">IFERROR(_xlfn.IFS(I218="Turnover",1),"")</f>
        <v/>
      </c>
      <c r="W218" s="16" t="str" cm="1">
        <f t="array" ref="W218">IFERROR(_xlfn.IFS(I218="Steal",1),"")</f>
        <v/>
      </c>
      <c r="X218" s="16" t="str" cm="1">
        <f t="array" ref="X218">IFERROR(_xlfn.IFS(I218="Block",1),"")</f>
        <v/>
      </c>
      <c r="Y218" s="16" t="str" cm="1">
        <f t="array" ref="Y218">IFERROR(_xlfn.IFS(I218="Block Received",1),"")</f>
        <v/>
      </c>
      <c r="Z218" s="16" t="str" cm="1">
        <f t="array" ref="Z218">IFERROR(_xlfn.IFS(I218="Foul",1,I218="Foul Technical",1,I218="Offensive Foul",1),"")</f>
        <v/>
      </c>
      <c r="AA218" s="16" t="str" cm="1">
        <f t="array" ref="AA218">IFERROR(_xlfn.IFS(I218="Foul Received",1),"")</f>
        <v/>
      </c>
      <c r="AB218" s="49" t="str" cm="1">
        <f t="array" ref="AB218">IFERROR(_xlfn.IFS(I218="Starting lineup",C218,I218="Substitution - In",C218),"")</f>
        <v/>
      </c>
      <c r="AC218" s="46" cm="1">
        <f t="array" ref="AC218">IFERROR(_xlfn.IFS(I218="Finishing lineup",C218,I218="Substitution - Out",C218),"")</f>
        <v>0</v>
      </c>
      <c r="AE218" s="50" cm="1">
        <f t="array" ref="AE218">IF(AC218&lt;&gt;"",LOOKUP(2,1/((G$2:G217=G218)*(AB$2:AB217&lt;&gt;"")),AB$2:AB217)-AC218,"")</f>
        <v>6.9444444444444441E-3</v>
      </c>
    </row>
    <row r="219" spans="1:31" hidden="1" x14ac:dyDescent="0.35">
      <c r="A219" s="16">
        <v>3</v>
      </c>
      <c r="B219" s="19">
        <v>213</v>
      </c>
      <c r="C219" s="46">
        <v>0</v>
      </c>
      <c r="D219" s="16">
        <f t="shared" si="29"/>
        <v>0</v>
      </c>
      <c r="E219" s="16">
        <f t="shared" si="30"/>
        <v>0</v>
      </c>
      <c r="F219" s="16" t="s">
        <v>46</v>
      </c>
      <c r="G219" s="16" t="s">
        <v>35</v>
      </c>
      <c r="H219" s="16" t="str">
        <f>_xlfn.XLOOKUP(G219,'1-Players'!$A$2:$A$27,'1-Players'!$D$2:$D$27,"")</f>
        <v>Grant Golden</v>
      </c>
      <c r="I219" s="16" t="s">
        <v>137</v>
      </c>
      <c r="K219" s="16" t="str" cm="1">
        <f t="array" ref="K219">IFERROR(_xlfn.IFS(I219="Free Throw",1,I219="2-Point Shot",2,I219="Dunk",2,I219="3-Point Shot",3),"")</f>
        <v/>
      </c>
      <c r="L219" s="16" t="str" cm="1">
        <f t="array" ref="L219">IFERROR(_xlfn.IFS(J219="Made",1,J219="Missed",0),"")</f>
        <v/>
      </c>
      <c r="M219" s="16" t="str">
        <f t="shared" si="27"/>
        <v/>
      </c>
      <c r="R219" s="16" t="str">
        <f t="shared" si="28"/>
        <v/>
      </c>
      <c r="S219" s="16" t="str" cm="1">
        <f t="array" ref="S219">IFERROR(_xlfn.IFS(I219="Offensive Rebound",1),"")</f>
        <v/>
      </c>
      <c r="T219" s="16" t="str" cm="1">
        <f t="array" ref="T219">IFERROR(_xlfn.IFS(I219="Defensive Rebound",1),"")</f>
        <v/>
      </c>
      <c r="U219" s="16" t="str" cm="1">
        <f t="array" ref="U219">IFERROR(_xlfn.IFS(I219="Assist",1),"")</f>
        <v/>
      </c>
      <c r="V219" s="16" t="str" cm="1">
        <f t="array" ref="V219">IFERROR(_xlfn.IFS(I219="Turnover",1),"")</f>
        <v/>
      </c>
      <c r="W219" s="16" t="str" cm="1">
        <f t="array" ref="W219">IFERROR(_xlfn.IFS(I219="Steal",1),"")</f>
        <v/>
      </c>
      <c r="X219" s="16" t="str" cm="1">
        <f t="array" ref="X219">IFERROR(_xlfn.IFS(I219="Block",1),"")</f>
        <v/>
      </c>
      <c r="Y219" s="16" t="str" cm="1">
        <f t="array" ref="Y219">IFERROR(_xlfn.IFS(I219="Block Received",1),"")</f>
        <v/>
      </c>
      <c r="Z219" s="16" t="str" cm="1">
        <f t="array" ref="Z219">IFERROR(_xlfn.IFS(I219="Foul",1,I219="Foul Technical",1,I219="Offensive Foul",1),"")</f>
        <v/>
      </c>
      <c r="AA219" s="16" t="str" cm="1">
        <f t="array" ref="AA219">IFERROR(_xlfn.IFS(I219="Foul Received",1),"")</f>
        <v/>
      </c>
      <c r="AB219" s="49" t="str" cm="1">
        <f t="array" ref="AB219">IFERROR(_xlfn.IFS(I219="Starting lineup",C219,I219="Substitution - In",C219),"")</f>
        <v/>
      </c>
      <c r="AC219" s="46" cm="1">
        <f t="array" ref="AC219">IFERROR(_xlfn.IFS(I219="Finishing lineup",C219,I219="Substitution - Out",C219),"")</f>
        <v>0</v>
      </c>
      <c r="AE219" s="50" cm="1">
        <f t="array" ref="AE219">IF(AC219&lt;&gt;"",LOOKUP(2,1/((G$2:G218=G219)*(AB$2:AB218&lt;&gt;"")),AB$2:AB218)-AC219,"")</f>
        <v>6.9444444444444441E-3</v>
      </c>
    </row>
    <row r="220" spans="1:31" hidden="1" x14ac:dyDescent="0.35">
      <c r="A220" s="16">
        <v>3</v>
      </c>
      <c r="B220" s="19">
        <v>214</v>
      </c>
      <c r="C220" s="46">
        <v>0</v>
      </c>
      <c r="D220" s="16">
        <f t="shared" si="29"/>
        <v>0</v>
      </c>
      <c r="E220" s="16">
        <f t="shared" si="30"/>
        <v>0</v>
      </c>
      <c r="F220" s="16" t="s">
        <v>46</v>
      </c>
      <c r="G220" s="16" t="s">
        <v>68</v>
      </c>
      <c r="H220" s="16" t="str">
        <f>_xlfn.XLOOKUP(G220,'1-Players'!$A$2:$A$27,'1-Players'!$D$2:$D$27,"")</f>
        <v>Dani Pérez</v>
      </c>
      <c r="I220" s="16" t="s">
        <v>137</v>
      </c>
      <c r="K220" s="16" t="str" cm="1">
        <f t="array" ref="K220">IFERROR(_xlfn.IFS(I220="Free Throw",1,I220="2-Point Shot",2,I220="Dunk",2,I220="3-Point Shot",3),"")</f>
        <v/>
      </c>
      <c r="L220" s="16" t="str" cm="1">
        <f t="array" ref="L220">IFERROR(_xlfn.IFS(J220="Made",1,J220="Missed",0),"")</f>
        <v/>
      </c>
      <c r="M220" s="16" t="str">
        <f t="shared" si="27"/>
        <v/>
      </c>
      <c r="R220" s="16" t="str">
        <f t="shared" si="28"/>
        <v/>
      </c>
      <c r="S220" s="16" t="str" cm="1">
        <f t="array" ref="S220">IFERROR(_xlfn.IFS(I220="Offensive Rebound",1),"")</f>
        <v/>
      </c>
      <c r="T220" s="16" t="str" cm="1">
        <f t="array" ref="T220">IFERROR(_xlfn.IFS(I220="Defensive Rebound",1),"")</f>
        <v/>
      </c>
      <c r="U220" s="16" t="str" cm="1">
        <f t="array" ref="U220">IFERROR(_xlfn.IFS(I220="Assist",1),"")</f>
        <v/>
      </c>
      <c r="V220" s="16" t="str" cm="1">
        <f t="array" ref="V220">IFERROR(_xlfn.IFS(I220="Turnover",1),"")</f>
        <v/>
      </c>
      <c r="W220" s="16" t="str" cm="1">
        <f t="array" ref="W220">IFERROR(_xlfn.IFS(I220="Steal",1),"")</f>
        <v/>
      </c>
      <c r="X220" s="16" t="str" cm="1">
        <f t="array" ref="X220">IFERROR(_xlfn.IFS(I220="Block",1),"")</f>
        <v/>
      </c>
      <c r="Y220" s="16" t="str" cm="1">
        <f t="array" ref="Y220">IFERROR(_xlfn.IFS(I220="Block Received",1),"")</f>
        <v/>
      </c>
      <c r="Z220" s="16" t="str" cm="1">
        <f t="array" ref="Z220">IFERROR(_xlfn.IFS(I220="Foul",1,I220="Foul Technical",1,I220="Offensive Foul",1),"")</f>
        <v/>
      </c>
      <c r="AA220" s="16" t="str" cm="1">
        <f t="array" ref="AA220">IFERROR(_xlfn.IFS(I220="Foul Received",1),"")</f>
        <v/>
      </c>
      <c r="AB220" s="49" t="str" cm="1">
        <f t="array" ref="AB220">IFERROR(_xlfn.IFS(I220="Starting lineup",C220,I220="Substitution - In",C220),"")</f>
        <v/>
      </c>
      <c r="AC220" s="46" cm="1">
        <f t="array" ref="AC220">IFERROR(_xlfn.IFS(I220="Finishing lineup",C220,I220="Substitution - Out",C220),"")</f>
        <v>0</v>
      </c>
      <c r="AE220" s="50" cm="1">
        <f t="array" ref="AE220">IF(AC220&lt;&gt;"",LOOKUP(2,1/((G$2:G219=G220)*(AB$2:AB219&lt;&gt;"")),AB$2:AB219)-AC220,"")</f>
        <v>6.9444444444444441E-3</v>
      </c>
    </row>
    <row r="221" spans="1:31" hidden="1" x14ac:dyDescent="0.35">
      <c r="A221" s="16">
        <v>3</v>
      </c>
      <c r="B221" s="19">
        <v>215</v>
      </c>
      <c r="C221" s="46">
        <v>0</v>
      </c>
      <c r="D221" s="16">
        <f t="shared" si="29"/>
        <v>0</v>
      </c>
      <c r="E221" s="16">
        <f t="shared" si="30"/>
        <v>0</v>
      </c>
      <c r="F221" s="16" t="s">
        <v>46</v>
      </c>
      <c r="G221" s="16" t="s">
        <v>69</v>
      </c>
      <c r="H221" s="16" t="str">
        <f>_xlfn.XLOOKUP(G221,'1-Players'!$A$2:$A$27,'1-Players'!$D$2:$D$27,"")</f>
        <v>Alfonso Plummer</v>
      </c>
      <c r="I221" s="16" t="s">
        <v>137</v>
      </c>
      <c r="K221" s="16" t="str" cm="1">
        <f t="array" ref="K221">IFERROR(_xlfn.IFS(I221="Free Throw",1,I221="2-Point Shot",2,I221="Dunk",2,I221="3-Point Shot",3),"")</f>
        <v/>
      </c>
      <c r="L221" s="16" t="str" cm="1">
        <f t="array" ref="L221">IFERROR(_xlfn.IFS(J221="Made",1,J221="Missed",0),"")</f>
        <v/>
      </c>
      <c r="M221" s="16" t="str">
        <f t="shared" si="27"/>
        <v/>
      </c>
      <c r="R221" s="16" t="str">
        <f t="shared" si="28"/>
        <v/>
      </c>
      <c r="S221" s="16" t="str" cm="1">
        <f t="array" ref="S221">IFERROR(_xlfn.IFS(I221="Offensive Rebound",1),"")</f>
        <v/>
      </c>
      <c r="T221" s="16" t="str" cm="1">
        <f t="array" ref="T221">IFERROR(_xlfn.IFS(I221="Defensive Rebound",1),"")</f>
        <v/>
      </c>
      <c r="U221" s="16" t="str" cm="1">
        <f t="array" ref="U221">IFERROR(_xlfn.IFS(I221="Assist",1),"")</f>
        <v/>
      </c>
      <c r="V221" s="16" t="str" cm="1">
        <f t="array" ref="V221">IFERROR(_xlfn.IFS(I221="Turnover",1),"")</f>
        <v/>
      </c>
      <c r="W221" s="16" t="str" cm="1">
        <f t="array" ref="W221">IFERROR(_xlfn.IFS(I221="Steal",1),"")</f>
        <v/>
      </c>
      <c r="X221" s="16" t="str" cm="1">
        <f t="array" ref="X221">IFERROR(_xlfn.IFS(I221="Block",1),"")</f>
        <v/>
      </c>
      <c r="Y221" s="16" t="str" cm="1">
        <f t="array" ref="Y221">IFERROR(_xlfn.IFS(I221="Block Received",1),"")</f>
        <v/>
      </c>
      <c r="Z221" s="16" t="str" cm="1">
        <f t="array" ref="Z221">IFERROR(_xlfn.IFS(I221="Foul",1,I221="Foul Technical",1,I221="Offensive Foul",1),"")</f>
        <v/>
      </c>
      <c r="AA221" s="16" t="str" cm="1">
        <f t="array" ref="AA221">IFERROR(_xlfn.IFS(I221="Foul Received",1),"")</f>
        <v/>
      </c>
      <c r="AB221" s="49" t="str" cm="1">
        <f t="array" ref="AB221">IFERROR(_xlfn.IFS(I221="Starting lineup",C221,I221="Substitution - In",C221),"")</f>
        <v/>
      </c>
      <c r="AC221" s="46" cm="1">
        <f t="array" ref="AC221">IFERROR(_xlfn.IFS(I221="Finishing lineup",C221,I221="Substitution - Out",C221),"")</f>
        <v>0</v>
      </c>
      <c r="AE221" s="50" cm="1">
        <f t="array" ref="AE221">IF(AC221&lt;&gt;"",LOOKUP(2,1/((G$2:G220=G221)*(AB$2:AB220&lt;&gt;"")),AB$2:AB220)-AC221,"")</f>
        <v>6.9444444444444441E-3</v>
      </c>
    </row>
    <row r="222" spans="1:31" hidden="1" x14ac:dyDescent="0.35">
      <c r="A222" s="16">
        <v>4</v>
      </c>
      <c r="B222" s="19">
        <v>216</v>
      </c>
      <c r="C222" s="46">
        <v>6.9444444444444441E-3</v>
      </c>
      <c r="D222" s="16">
        <f t="shared" ref="D222:D242" si="31">MINUTE(C222)</f>
        <v>10</v>
      </c>
      <c r="E222" s="16">
        <f t="shared" ref="E222:E242" si="32">SECOND(C222)</f>
        <v>0</v>
      </c>
      <c r="F222" s="19" t="s">
        <v>16</v>
      </c>
      <c r="G222" s="16" t="s">
        <v>18</v>
      </c>
      <c r="H222" s="16" t="str">
        <f>_xlfn.XLOOKUP(G222,'1-Players'!$A$2:$A$27,'1-Players'!$D$2:$D$27,"")</f>
        <v>Corey Walden</v>
      </c>
      <c r="I222" s="16" t="s">
        <v>81</v>
      </c>
      <c r="K222" s="16" t="str" cm="1">
        <f t="array" ref="K222">IFERROR(_xlfn.IFS(I222="Free Throw",1,I222="2-Point Shot",2,I222="Dunk",2,I222="3-Point Shot",3),"")</f>
        <v/>
      </c>
      <c r="L222" s="16" t="str" cm="1">
        <f t="array" ref="L222">IFERROR(_xlfn.IFS(J222="Made",1,J222="Missed",0),"")</f>
        <v/>
      </c>
      <c r="M222" s="16" t="str">
        <f t="shared" si="27"/>
        <v/>
      </c>
      <c r="R222" s="16" t="str">
        <f t="shared" si="28"/>
        <v/>
      </c>
      <c r="S222" s="16" t="str" cm="1">
        <f t="array" ref="S222">IFERROR(_xlfn.IFS(I222="Offensive Rebound",1),"")</f>
        <v/>
      </c>
      <c r="T222" s="16" t="str" cm="1">
        <f t="array" ref="T222">IFERROR(_xlfn.IFS(I222="Defensive Rebound",1),"")</f>
        <v/>
      </c>
      <c r="U222" s="16" t="str" cm="1">
        <f t="array" ref="U222">IFERROR(_xlfn.IFS(I222="Assist",1),"")</f>
        <v/>
      </c>
      <c r="V222" s="16" t="str" cm="1">
        <f t="array" ref="V222">IFERROR(_xlfn.IFS(I222="Turnover",1),"")</f>
        <v/>
      </c>
      <c r="W222" s="16" t="str" cm="1">
        <f t="array" ref="W222">IFERROR(_xlfn.IFS(I222="Steal",1),"")</f>
        <v/>
      </c>
      <c r="X222" s="16" t="str" cm="1">
        <f t="array" ref="X222">IFERROR(_xlfn.IFS(I222="Block",1),"")</f>
        <v/>
      </c>
      <c r="Y222" s="16" t="str" cm="1">
        <f t="array" ref="Y222">IFERROR(_xlfn.IFS(I222="Block Received",1),"")</f>
        <v/>
      </c>
      <c r="Z222" s="16" t="str" cm="1">
        <f t="array" ref="Z222">IFERROR(_xlfn.IFS(I222="Foul",1,I222="Foul Technical",1,I222="Offensive Foul",1),"")</f>
        <v/>
      </c>
      <c r="AA222" s="16" t="str" cm="1">
        <f t="array" ref="AA222">IFERROR(_xlfn.IFS(I222="Foul Received",1),"")</f>
        <v/>
      </c>
      <c r="AB222" s="49" cm="1">
        <f t="array" ref="AB222">IFERROR(_xlfn.IFS(I222="Starting lineup",C222,I222="Substitution - In",C222),"")</f>
        <v>6.9444444444444441E-3</v>
      </c>
      <c r="AC222" s="46" t="str" cm="1">
        <f t="array" ref="AC222">IFERROR(_xlfn.IFS(I222="Finishing lineup",C222,I222="Substitution - Out",C222),"")</f>
        <v/>
      </c>
      <c r="AE222" s="50" t="str" cm="1">
        <f t="array" ref="AE222">IF(AC222&lt;&gt;"",LOOKUP(2,1/((G$2:G221=G222)*(AB$2:AB221&lt;&gt;"")),AB$2:AB221)-AC222,"")</f>
        <v/>
      </c>
    </row>
    <row r="223" spans="1:31" hidden="1" x14ac:dyDescent="0.35">
      <c r="A223" s="16">
        <v>4</v>
      </c>
      <c r="B223" s="19">
        <v>217</v>
      </c>
      <c r="C223" s="46">
        <v>6.9444444444444441E-3</v>
      </c>
      <c r="D223" s="16">
        <f t="shared" si="31"/>
        <v>10</v>
      </c>
      <c r="E223" s="16">
        <f t="shared" si="32"/>
        <v>0</v>
      </c>
      <c r="F223" s="16" t="s">
        <v>16</v>
      </c>
      <c r="G223" s="16" t="s">
        <v>22</v>
      </c>
      <c r="H223" s="16" t="str">
        <f>_xlfn.XLOOKUP(G223,'1-Players'!$A$2:$A$27,'1-Players'!$D$2:$D$27,"")</f>
        <v>Oriol Paulí</v>
      </c>
      <c r="I223" s="16" t="s">
        <v>81</v>
      </c>
      <c r="K223" s="16" t="str" cm="1">
        <f t="array" ref="K223">IFERROR(_xlfn.IFS(I223="Free Throw",1,I223="2-Point Shot",2,I223="Dunk",2,I223="3-Point Shot",3),"")</f>
        <v/>
      </c>
      <c r="L223" s="16" t="str" cm="1">
        <f t="array" ref="L223">IFERROR(_xlfn.IFS(J223="Made",1,J223="Missed",0),"")</f>
        <v/>
      </c>
      <c r="M223" s="16" t="str">
        <f t="shared" si="27"/>
        <v/>
      </c>
      <c r="R223" s="16" t="str">
        <f t="shared" si="28"/>
        <v/>
      </c>
      <c r="S223" s="16" t="str" cm="1">
        <f t="array" ref="S223">IFERROR(_xlfn.IFS(I223="Offensive Rebound",1),"")</f>
        <v/>
      </c>
      <c r="T223" s="16" t="str" cm="1">
        <f t="array" ref="T223">IFERROR(_xlfn.IFS(I223="Defensive Rebound",1),"")</f>
        <v/>
      </c>
      <c r="U223" s="16" t="str" cm="1">
        <f t="array" ref="U223">IFERROR(_xlfn.IFS(I223="Assist",1),"")</f>
        <v/>
      </c>
      <c r="V223" s="16" t="str" cm="1">
        <f t="array" ref="V223">IFERROR(_xlfn.IFS(I223="Turnover",1),"")</f>
        <v/>
      </c>
      <c r="W223" s="16" t="str" cm="1">
        <f t="array" ref="W223">IFERROR(_xlfn.IFS(I223="Steal",1),"")</f>
        <v/>
      </c>
      <c r="X223" s="16" t="str" cm="1">
        <f t="array" ref="X223">IFERROR(_xlfn.IFS(I223="Block",1),"")</f>
        <v/>
      </c>
      <c r="Y223" s="16" t="str" cm="1">
        <f t="array" ref="Y223">IFERROR(_xlfn.IFS(I223="Block Received",1),"")</f>
        <v/>
      </c>
      <c r="Z223" s="16" t="str" cm="1">
        <f t="array" ref="Z223">IFERROR(_xlfn.IFS(I223="Foul",1,I223="Foul Technical",1,I223="Offensive Foul",1),"")</f>
        <v/>
      </c>
      <c r="AA223" s="16" t="str" cm="1">
        <f t="array" ref="AA223">IFERROR(_xlfn.IFS(I223="Foul Received",1),"")</f>
        <v/>
      </c>
      <c r="AB223" s="49" cm="1">
        <f t="array" ref="AB223">IFERROR(_xlfn.IFS(I223="Starting lineup",C223,I223="Substitution - In",C223),"")</f>
        <v>6.9444444444444441E-3</v>
      </c>
      <c r="AC223" s="46" t="str" cm="1">
        <f t="array" ref="AC223">IFERROR(_xlfn.IFS(I223="Finishing lineup",C223,I223="Substitution - Out",C223),"")</f>
        <v/>
      </c>
      <c r="AE223" s="50" t="str" cm="1">
        <f t="array" ref="AE223">IF(AC223&lt;&gt;"",LOOKUP(2,1/((G$2:G222=G223)*(AB$2:AB222&lt;&gt;"")),AB$2:AB222)-AC223,"")</f>
        <v/>
      </c>
    </row>
    <row r="224" spans="1:31" hidden="1" x14ac:dyDescent="0.35">
      <c r="A224" s="16">
        <v>4</v>
      </c>
      <c r="B224" s="19">
        <v>218</v>
      </c>
      <c r="C224" s="46">
        <v>6.9444444444444441E-3</v>
      </c>
      <c r="D224" s="16">
        <f t="shared" si="31"/>
        <v>10</v>
      </c>
      <c r="E224" s="16">
        <f t="shared" si="32"/>
        <v>0</v>
      </c>
      <c r="F224" s="16" t="s">
        <v>16</v>
      </c>
      <c r="G224" s="16" t="s">
        <v>39</v>
      </c>
      <c r="H224" s="16" t="str">
        <f>_xlfn.XLOOKUP(G224,'1-Players'!$A$2:$A$27,'1-Players'!$D$2:$D$27,"")</f>
        <v>Millán Jiménez</v>
      </c>
      <c r="I224" s="16" t="s">
        <v>81</v>
      </c>
      <c r="K224" s="16" t="str" cm="1">
        <f t="array" ref="K224">IFERROR(_xlfn.IFS(I224="Free Throw",1,I224="2-Point Shot",2,I224="Dunk",2,I224="3-Point Shot",3),"")</f>
        <v/>
      </c>
      <c r="L224" s="16" t="str" cm="1">
        <f t="array" ref="L224">IFERROR(_xlfn.IFS(J224="Made",1,J224="Missed",0),"")</f>
        <v/>
      </c>
      <c r="M224" s="16" t="str">
        <f t="shared" si="27"/>
        <v/>
      </c>
      <c r="R224" s="16" t="str">
        <f t="shared" si="28"/>
        <v/>
      </c>
      <c r="S224" s="16" t="str" cm="1">
        <f t="array" ref="S224">IFERROR(_xlfn.IFS(I224="Offensive Rebound",1),"")</f>
        <v/>
      </c>
      <c r="T224" s="16" t="str" cm="1">
        <f t="array" ref="T224">IFERROR(_xlfn.IFS(I224="Defensive Rebound",1),"")</f>
        <v/>
      </c>
      <c r="U224" s="16" t="str" cm="1">
        <f t="array" ref="U224">IFERROR(_xlfn.IFS(I224="Assist",1),"")</f>
        <v/>
      </c>
      <c r="V224" s="16" t="str" cm="1">
        <f t="array" ref="V224">IFERROR(_xlfn.IFS(I224="Turnover",1),"")</f>
        <v/>
      </c>
      <c r="W224" s="16" t="str" cm="1">
        <f t="array" ref="W224">IFERROR(_xlfn.IFS(I224="Steal",1),"")</f>
        <v/>
      </c>
      <c r="X224" s="16" t="str" cm="1">
        <f t="array" ref="X224">IFERROR(_xlfn.IFS(I224="Block",1),"")</f>
        <v/>
      </c>
      <c r="Y224" s="16" t="str" cm="1">
        <f t="array" ref="Y224">IFERROR(_xlfn.IFS(I224="Block Received",1),"")</f>
        <v/>
      </c>
      <c r="Z224" s="16" t="str" cm="1">
        <f t="array" ref="Z224">IFERROR(_xlfn.IFS(I224="Foul",1,I224="Foul Technical",1,I224="Offensive Foul",1),"")</f>
        <v/>
      </c>
      <c r="AA224" s="16" t="str" cm="1">
        <f t="array" ref="AA224">IFERROR(_xlfn.IFS(I224="Foul Received",1),"")</f>
        <v/>
      </c>
      <c r="AB224" s="49" cm="1">
        <f t="array" ref="AB224">IFERROR(_xlfn.IFS(I224="Starting lineup",C224,I224="Substitution - In",C224),"")</f>
        <v>6.9444444444444441E-3</v>
      </c>
      <c r="AC224" s="46" t="str" cm="1">
        <f t="array" ref="AC224">IFERROR(_xlfn.IFS(I224="Finishing lineup",C224,I224="Substitution - Out",C224),"")</f>
        <v/>
      </c>
      <c r="AE224" s="50" t="str" cm="1">
        <f t="array" ref="AE224">IF(AC224&lt;&gt;"",LOOKUP(2,1/((G$2:G223=G224)*(AB$2:AB223&lt;&gt;"")),AB$2:AB223)-AC224,"")</f>
        <v/>
      </c>
    </row>
    <row r="225" spans="1:31" hidden="1" x14ac:dyDescent="0.35">
      <c r="A225" s="16">
        <v>4</v>
      </c>
      <c r="B225" s="19">
        <v>219</v>
      </c>
      <c r="C225" s="46">
        <v>6.9444444444444441E-3</v>
      </c>
      <c r="D225" s="16">
        <f t="shared" si="31"/>
        <v>10</v>
      </c>
      <c r="E225" s="16">
        <f t="shared" si="32"/>
        <v>0</v>
      </c>
      <c r="F225" s="16" t="s">
        <v>16</v>
      </c>
      <c r="G225" s="16" t="s">
        <v>41</v>
      </c>
      <c r="H225" s="16" t="str">
        <f>_xlfn.XLOOKUP(G225,'1-Players'!$A$2:$A$27,'1-Players'!$D$2:$D$27,"")</f>
        <v>John Shurna</v>
      </c>
      <c r="I225" s="16" t="s">
        <v>81</v>
      </c>
      <c r="K225" s="16" t="str" cm="1">
        <f t="array" ref="K225">IFERROR(_xlfn.IFS(I225="Free Throw",1,I225="2-Point Shot",2,I225="Dunk",2,I225="3-Point Shot",3),"")</f>
        <v/>
      </c>
      <c r="L225" s="16" t="str" cm="1">
        <f t="array" ref="L225">IFERROR(_xlfn.IFS(J225="Made",1,J225="Missed",0),"")</f>
        <v/>
      </c>
      <c r="M225" s="16" t="str">
        <f t="shared" si="27"/>
        <v/>
      </c>
      <c r="R225" s="16" t="str">
        <f t="shared" si="28"/>
        <v/>
      </c>
      <c r="S225" s="16" t="str" cm="1">
        <f t="array" ref="S225">IFERROR(_xlfn.IFS(I225="Offensive Rebound",1),"")</f>
        <v/>
      </c>
      <c r="T225" s="16" t="str" cm="1">
        <f t="array" ref="T225">IFERROR(_xlfn.IFS(I225="Defensive Rebound",1),"")</f>
        <v/>
      </c>
      <c r="U225" s="16" t="str" cm="1">
        <f t="array" ref="U225">IFERROR(_xlfn.IFS(I225="Assist",1),"")</f>
        <v/>
      </c>
      <c r="V225" s="16" t="str" cm="1">
        <f t="array" ref="V225">IFERROR(_xlfn.IFS(I225="Turnover",1),"")</f>
        <v/>
      </c>
      <c r="W225" s="16" t="str" cm="1">
        <f t="array" ref="W225">IFERROR(_xlfn.IFS(I225="Steal",1),"")</f>
        <v/>
      </c>
      <c r="X225" s="16" t="str" cm="1">
        <f t="array" ref="X225">IFERROR(_xlfn.IFS(I225="Block",1),"")</f>
        <v/>
      </c>
      <c r="Y225" s="16" t="str" cm="1">
        <f t="array" ref="Y225">IFERROR(_xlfn.IFS(I225="Block Received",1),"")</f>
        <v/>
      </c>
      <c r="Z225" s="16" t="str" cm="1">
        <f t="array" ref="Z225">IFERROR(_xlfn.IFS(I225="Foul",1,I225="Foul Technical",1,I225="Offensive Foul",1),"")</f>
        <v/>
      </c>
      <c r="AA225" s="16" t="str" cm="1">
        <f t="array" ref="AA225">IFERROR(_xlfn.IFS(I225="Foul Received",1),"")</f>
        <v/>
      </c>
      <c r="AB225" s="49" cm="1">
        <f t="array" ref="AB225">IFERROR(_xlfn.IFS(I225="Starting lineup",C225,I225="Substitution - In",C225),"")</f>
        <v>6.9444444444444441E-3</v>
      </c>
      <c r="AC225" s="46" t="str" cm="1">
        <f t="array" ref="AC225">IFERROR(_xlfn.IFS(I225="Finishing lineup",C225,I225="Substitution - Out",C225),"")</f>
        <v/>
      </c>
      <c r="AE225" s="50" t="str" cm="1">
        <f t="array" ref="AE225">IF(AC225&lt;&gt;"",LOOKUP(2,1/((G$2:G224=G225)*(AB$2:AB224&lt;&gt;"")),AB$2:AB224)-AC225,"")</f>
        <v/>
      </c>
    </row>
    <row r="226" spans="1:31" hidden="1" x14ac:dyDescent="0.35">
      <c r="A226" s="16">
        <v>4</v>
      </c>
      <c r="B226" s="19">
        <v>220</v>
      </c>
      <c r="C226" s="46">
        <v>6.9444444444444441E-3</v>
      </c>
      <c r="D226" s="16">
        <f t="shared" si="31"/>
        <v>10</v>
      </c>
      <c r="E226" s="16">
        <f t="shared" si="32"/>
        <v>0</v>
      </c>
      <c r="F226" s="16" t="s">
        <v>16</v>
      </c>
      <c r="G226" s="16" t="s">
        <v>43</v>
      </c>
      <c r="H226" s="16" t="str">
        <f>_xlfn.XLOOKUP(G226,'1-Players'!$A$2:$A$27,'1-Players'!$D$2:$D$27,"")</f>
        <v>Cameron Krutwig</v>
      </c>
      <c r="I226" s="16" t="s">
        <v>81</v>
      </c>
      <c r="K226" s="16" t="str" cm="1">
        <f t="array" ref="K226">IFERROR(_xlfn.IFS(I226="Free Throw",1,I226="2-Point Shot",2,I226="Dunk",2,I226="3-Point Shot",3),"")</f>
        <v/>
      </c>
      <c r="L226" s="16" t="str" cm="1">
        <f t="array" ref="L226">IFERROR(_xlfn.IFS(J226="Made",1,J226="Missed",0),"")</f>
        <v/>
      </c>
      <c r="M226" s="16" t="str">
        <f t="shared" si="27"/>
        <v/>
      </c>
      <c r="R226" s="16" t="str">
        <f t="shared" si="28"/>
        <v/>
      </c>
      <c r="S226" s="16" t="str" cm="1">
        <f t="array" ref="S226">IFERROR(_xlfn.IFS(I226="Offensive Rebound",1),"")</f>
        <v/>
      </c>
      <c r="T226" s="16" t="str" cm="1">
        <f t="array" ref="T226">IFERROR(_xlfn.IFS(I226="Defensive Rebound",1),"")</f>
        <v/>
      </c>
      <c r="U226" s="16" t="str" cm="1">
        <f t="array" ref="U226">IFERROR(_xlfn.IFS(I226="Assist",1),"")</f>
        <v/>
      </c>
      <c r="V226" s="16" t="str" cm="1">
        <f t="array" ref="V226">IFERROR(_xlfn.IFS(I226="Turnover",1),"")</f>
        <v/>
      </c>
      <c r="W226" s="16" t="str" cm="1">
        <f t="array" ref="W226">IFERROR(_xlfn.IFS(I226="Steal",1),"")</f>
        <v/>
      </c>
      <c r="X226" s="16" t="str" cm="1">
        <f t="array" ref="X226">IFERROR(_xlfn.IFS(I226="Block",1),"")</f>
        <v/>
      </c>
      <c r="Y226" s="16" t="str" cm="1">
        <f t="array" ref="Y226">IFERROR(_xlfn.IFS(I226="Block Received",1),"")</f>
        <v/>
      </c>
      <c r="Z226" s="16" t="str" cm="1">
        <f t="array" ref="Z226">IFERROR(_xlfn.IFS(I226="Foul",1,I226="Foul Technical",1,I226="Offensive Foul",1),"")</f>
        <v/>
      </c>
      <c r="AA226" s="16" t="str" cm="1">
        <f t="array" ref="AA226">IFERROR(_xlfn.IFS(I226="Foul Received",1),"")</f>
        <v/>
      </c>
      <c r="AB226" s="49" cm="1">
        <f t="array" ref="AB226">IFERROR(_xlfn.IFS(I226="Starting lineup",C226,I226="Substitution - In",C226),"")</f>
        <v>6.9444444444444441E-3</v>
      </c>
      <c r="AC226" s="46" t="str" cm="1">
        <f t="array" ref="AC226">IFERROR(_xlfn.IFS(I226="Finishing lineup",C226,I226="Substitution - Out",C226),"")</f>
        <v/>
      </c>
      <c r="AE226" s="50" t="str" cm="1">
        <f t="array" ref="AE226">IF(AC226&lt;&gt;"",LOOKUP(2,1/((G$2:G225=G226)*(AB$2:AB225&lt;&gt;"")),AB$2:AB225)-AC226,"")</f>
        <v/>
      </c>
    </row>
    <row r="227" spans="1:31" hidden="1" x14ac:dyDescent="0.35">
      <c r="A227" s="16">
        <v>4</v>
      </c>
      <c r="B227" s="19">
        <v>221</v>
      </c>
      <c r="C227" s="46">
        <v>6.9444444444444441E-3</v>
      </c>
      <c r="D227" s="16">
        <f t="shared" si="31"/>
        <v>10</v>
      </c>
      <c r="E227" s="16">
        <f t="shared" si="32"/>
        <v>0</v>
      </c>
      <c r="F227" s="16" t="s">
        <v>46</v>
      </c>
      <c r="G227" s="16" t="s">
        <v>9</v>
      </c>
      <c r="H227" s="16" t="str">
        <f>_xlfn.XLOOKUP(G227,'1-Players'!$A$2:$A$27,'1-Players'!$D$2:$D$27,"")</f>
        <v>Agustín Ubal</v>
      </c>
      <c r="I227" s="16" t="s">
        <v>81</v>
      </c>
      <c r="K227" s="16" t="str" cm="1">
        <f t="array" ref="K227">IFERROR(_xlfn.IFS(I227="Free Throw",1,I227="2-Point Shot",2,I227="Dunk",2,I227="3-Point Shot",3),"")</f>
        <v/>
      </c>
      <c r="L227" s="16" t="str" cm="1">
        <f t="array" ref="L227">IFERROR(_xlfn.IFS(J227="Made",1,J227="Missed",0),"")</f>
        <v/>
      </c>
      <c r="M227" s="16" t="str">
        <f t="shared" si="27"/>
        <v/>
      </c>
      <c r="R227" s="16" t="str">
        <f t="shared" si="28"/>
        <v/>
      </c>
      <c r="S227" s="16" t="str" cm="1">
        <f t="array" ref="S227">IFERROR(_xlfn.IFS(I227="Offensive Rebound",1),"")</f>
        <v/>
      </c>
      <c r="T227" s="16" t="str" cm="1">
        <f t="array" ref="T227">IFERROR(_xlfn.IFS(I227="Defensive Rebound",1),"")</f>
        <v/>
      </c>
      <c r="U227" s="16" t="str" cm="1">
        <f t="array" ref="U227">IFERROR(_xlfn.IFS(I227="Assist",1),"")</f>
        <v/>
      </c>
      <c r="V227" s="16" t="str" cm="1">
        <f t="array" ref="V227">IFERROR(_xlfn.IFS(I227="Turnover",1),"")</f>
        <v/>
      </c>
      <c r="W227" s="16" t="str" cm="1">
        <f t="array" ref="W227">IFERROR(_xlfn.IFS(I227="Steal",1),"")</f>
        <v/>
      </c>
      <c r="X227" s="16" t="str" cm="1">
        <f t="array" ref="X227">IFERROR(_xlfn.IFS(I227="Block",1),"")</f>
        <v/>
      </c>
      <c r="Y227" s="16" t="str" cm="1">
        <f t="array" ref="Y227">IFERROR(_xlfn.IFS(I227="Block Received",1),"")</f>
        <v/>
      </c>
      <c r="Z227" s="16" t="str" cm="1">
        <f t="array" ref="Z227">IFERROR(_xlfn.IFS(I227="Foul",1,I227="Foul Technical",1,I227="Offensive Foul",1),"")</f>
        <v/>
      </c>
      <c r="AA227" s="16" t="str" cm="1">
        <f t="array" ref="AA227">IFERROR(_xlfn.IFS(I227="Foul Received",1),"")</f>
        <v/>
      </c>
      <c r="AB227" s="49" cm="1">
        <f t="array" ref="AB227">IFERROR(_xlfn.IFS(I227="Starting lineup",C227,I227="Substitution - In",C227),"")</f>
        <v>6.9444444444444441E-3</v>
      </c>
      <c r="AC227" s="46" t="str" cm="1">
        <f t="array" ref="AC227">IFERROR(_xlfn.IFS(I227="Finishing lineup",C227,I227="Substitution - Out",C227),"")</f>
        <v/>
      </c>
      <c r="AE227" s="50" t="str" cm="1">
        <f t="array" ref="AE227">IF(AC227&lt;&gt;"",LOOKUP(2,1/((G$2:G226=G227)*(AB$2:AB226&lt;&gt;"")),AB$2:AB226)-AC227,"")</f>
        <v/>
      </c>
    </row>
    <row r="228" spans="1:31" hidden="1" x14ac:dyDescent="0.35">
      <c r="A228" s="16">
        <v>4</v>
      </c>
      <c r="B228" s="19">
        <v>222</v>
      </c>
      <c r="C228" s="46">
        <v>6.9444444444444441E-3</v>
      </c>
      <c r="D228" s="16">
        <f t="shared" si="31"/>
        <v>10</v>
      </c>
      <c r="E228" s="16">
        <f t="shared" si="32"/>
        <v>0</v>
      </c>
      <c r="F228" s="16" t="s">
        <v>46</v>
      </c>
      <c r="G228" s="16" t="s">
        <v>11</v>
      </c>
      <c r="H228" s="16" t="str">
        <f>_xlfn.XLOOKUP(G228,'1-Players'!$A$2:$A$27,'1-Players'!$D$2:$D$27,"")</f>
        <v>Marcis Steinbergs</v>
      </c>
      <c r="I228" s="16" t="s">
        <v>81</v>
      </c>
      <c r="K228" s="16" t="str" cm="1">
        <f t="array" ref="K228">IFERROR(_xlfn.IFS(I228="Free Throw",1,I228="2-Point Shot",2,I228="Dunk",2,I228="3-Point Shot",3),"")</f>
        <v/>
      </c>
      <c r="L228" s="16" t="str" cm="1">
        <f t="array" ref="L228">IFERROR(_xlfn.IFS(J228="Made",1,J228="Missed",0),"")</f>
        <v/>
      </c>
      <c r="M228" s="16" t="str">
        <f t="shared" si="27"/>
        <v/>
      </c>
      <c r="R228" s="16" t="str">
        <f t="shared" si="28"/>
        <v/>
      </c>
      <c r="S228" s="16" t="str" cm="1">
        <f t="array" ref="S228">IFERROR(_xlfn.IFS(I228="Offensive Rebound",1),"")</f>
        <v/>
      </c>
      <c r="T228" s="16" t="str" cm="1">
        <f t="array" ref="T228">IFERROR(_xlfn.IFS(I228="Defensive Rebound",1),"")</f>
        <v/>
      </c>
      <c r="U228" s="16" t="str" cm="1">
        <f t="array" ref="U228">IFERROR(_xlfn.IFS(I228="Assist",1),"")</f>
        <v/>
      </c>
      <c r="V228" s="16" t="str" cm="1">
        <f t="array" ref="V228">IFERROR(_xlfn.IFS(I228="Turnover",1),"")</f>
        <v/>
      </c>
      <c r="W228" s="16" t="str" cm="1">
        <f t="array" ref="W228">IFERROR(_xlfn.IFS(I228="Steal",1),"")</f>
        <v/>
      </c>
      <c r="X228" s="16" t="str" cm="1">
        <f t="array" ref="X228">IFERROR(_xlfn.IFS(I228="Block",1),"")</f>
        <v/>
      </c>
      <c r="Y228" s="16" t="str" cm="1">
        <f t="array" ref="Y228">IFERROR(_xlfn.IFS(I228="Block Received",1),"")</f>
        <v/>
      </c>
      <c r="Z228" s="16" t="str" cm="1">
        <f t="array" ref="Z228">IFERROR(_xlfn.IFS(I228="Foul",1,I228="Foul Technical",1,I228="Offensive Foul",1),"")</f>
        <v/>
      </c>
      <c r="AA228" s="16" t="str" cm="1">
        <f t="array" ref="AA228">IFERROR(_xlfn.IFS(I228="Foul Received",1),"")</f>
        <v/>
      </c>
      <c r="AB228" s="49" cm="1">
        <f t="array" ref="AB228">IFERROR(_xlfn.IFS(I228="Starting lineup",C228,I228="Substitution - In",C228),"")</f>
        <v>6.9444444444444441E-3</v>
      </c>
      <c r="AC228" s="46" t="str" cm="1">
        <f t="array" ref="AC228">IFERROR(_xlfn.IFS(I228="Finishing lineup",C228,I228="Substitution - Out",C228),"")</f>
        <v/>
      </c>
      <c r="AE228" s="50" t="str" cm="1">
        <f t="array" ref="AE228">IF(AC228&lt;&gt;"",LOOKUP(2,1/((G$2:G227=G228)*(AB$2:AB227&lt;&gt;"")),AB$2:AB227)-AC228,"")</f>
        <v/>
      </c>
    </row>
    <row r="229" spans="1:31" hidden="1" x14ac:dyDescent="0.35">
      <c r="A229" s="16">
        <v>4</v>
      </c>
      <c r="B229" s="19">
        <v>223</v>
      </c>
      <c r="C229" s="46">
        <v>6.9444444444444441E-3</v>
      </c>
      <c r="D229" s="16">
        <f t="shared" si="31"/>
        <v>10</v>
      </c>
      <c r="E229" s="16">
        <f t="shared" si="32"/>
        <v>0</v>
      </c>
      <c r="F229" s="16" t="s">
        <v>46</v>
      </c>
      <c r="G229" s="16" t="s">
        <v>35</v>
      </c>
      <c r="H229" s="16" t="str">
        <f>_xlfn.XLOOKUP(G229,'1-Players'!$A$2:$A$27,'1-Players'!$D$2:$D$27,"")</f>
        <v>Grant Golden</v>
      </c>
      <c r="I229" s="16" t="s">
        <v>81</v>
      </c>
      <c r="K229" s="16" t="str" cm="1">
        <f t="array" ref="K229">IFERROR(_xlfn.IFS(I229="Free Throw",1,I229="2-Point Shot",2,I229="Dunk",2,I229="3-Point Shot",3),"")</f>
        <v/>
      </c>
      <c r="L229" s="16" t="str" cm="1">
        <f t="array" ref="L229">IFERROR(_xlfn.IFS(J229="Made",1,J229="Missed",0),"")</f>
        <v/>
      </c>
      <c r="M229" s="16" t="str">
        <f t="shared" si="27"/>
        <v/>
      </c>
      <c r="R229" s="16" t="str">
        <f t="shared" si="28"/>
        <v/>
      </c>
      <c r="S229" s="16" t="str" cm="1">
        <f t="array" ref="S229">IFERROR(_xlfn.IFS(I229="Offensive Rebound",1),"")</f>
        <v/>
      </c>
      <c r="T229" s="16" t="str" cm="1">
        <f t="array" ref="T229">IFERROR(_xlfn.IFS(I229="Defensive Rebound",1),"")</f>
        <v/>
      </c>
      <c r="U229" s="16" t="str" cm="1">
        <f t="array" ref="U229">IFERROR(_xlfn.IFS(I229="Assist",1),"")</f>
        <v/>
      </c>
      <c r="V229" s="16" t="str" cm="1">
        <f t="array" ref="V229">IFERROR(_xlfn.IFS(I229="Turnover",1),"")</f>
        <v/>
      </c>
      <c r="W229" s="16" t="str" cm="1">
        <f t="array" ref="W229">IFERROR(_xlfn.IFS(I229="Steal",1),"")</f>
        <v/>
      </c>
      <c r="X229" s="16" t="str" cm="1">
        <f t="array" ref="X229">IFERROR(_xlfn.IFS(I229="Block",1),"")</f>
        <v/>
      </c>
      <c r="Y229" s="16" t="str" cm="1">
        <f t="array" ref="Y229">IFERROR(_xlfn.IFS(I229="Block Received",1),"")</f>
        <v/>
      </c>
      <c r="Z229" s="16" t="str" cm="1">
        <f t="array" ref="Z229">IFERROR(_xlfn.IFS(I229="Foul",1,I229="Foul Technical",1,I229="Offensive Foul",1),"")</f>
        <v/>
      </c>
      <c r="AA229" s="16" t="str" cm="1">
        <f t="array" ref="AA229">IFERROR(_xlfn.IFS(I229="Foul Received",1),"")</f>
        <v/>
      </c>
      <c r="AB229" s="49" cm="1">
        <f t="array" ref="AB229">IFERROR(_xlfn.IFS(I229="Starting lineup",C229,I229="Substitution - In",C229),"")</f>
        <v>6.9444444444444441E-3</v>
      </c>
      <c r="AC229" s="46" t="str" cm="1">
        <f t="array" ref="AC229">IFERROR(_xlfn.IFS(I229="Finishing lineup",C229,I229="Substitution - Out",C229),"")</f>
        <v/>
      </c>
      <c r="AE229" s="50" t="str" cm="1">
        <f t="array" ref="AE229">IF(AC229&lt;&gt;"",LOOKUP(2,1/((G$2:G228=G229)*(AB$2:AB228&lt;&gt;"")),AB$2:AB228)-AC229,"")</f>
        <v/>
      </c>
    </row>
    <row r="230" spans="1:31" hidden="1" x14ac:dyDescent="0.35">
      <c r="A230" s="16">
        <v>4</v>
      </c>
      <c r="B230" s="19">
        <v>224</v>
      </c>
      <c r="C230" s="46">
        <v>6.9444444444444441E-3</v>
      </c>
      <c r="D230" s="16">
        <f t="shared" si="31"/>
        <v>10</v>
      </c>
      <c r="E230" s="16">
        <f t="shared" si="32"/>
        <v>0</v>
      </c>
      <c r="F230" s="16" t="s">
        <v>46</v>
      </c>
      <c r="G230" s="16" t="s">
        <v>68</v>
      </c>
      <c r="H230" s="16" t="str">
        <f>_xlfn.XLOOKUP(G230,'1-Players'!$A$2:$A$27,'1-Players'!$D$2:$D$27,"")</f>
        <v>Dani Pérez</v>
      </c>
      <c r="I230" s="16" t="s">
        <v>81</v>
      </c>
      <c r="K230" s="16" t="str" cm="1">
        <f t="array" ref="K230">IFERROR(_xlfn.IFS(I230="Free Throw",1,I230="2-Point Shot",2,I230="Dunk",2,I230="3-Point Shot",3),"")</f>
        <v/>
      </c>
      <c r="L230" s="16" t="str" cm="1">
        <f t="array" ref="L230">IFERROR(_xlfn.IFS(J230="Made",1,J230="Missed",0),"")</f>
        <v/>
      </c>
      <c r="M230" s="16" t="str">
        <f t="shared" si="27"/>
        <v/>
      </c>
      <c r="R230" s="16" t="str">
        <f t="shared" si="28"/>
        <v/>
      </c>
      <c r="S230" s="16" t="str" cm="1">
        <f t="array" ref="S230">IFERROR(_xlfn.IFS(I230="Offensive Rebound",1),"")</f>
        <v/>
      </c>
      <c r="T230" s="16" t="str" cm="1">
        <f t="array" ref="T230">IFERROR(_xlfn.IFS(I230="Defensive Rebound",1),"")</f>
        <v/>
      </c>
      <c r="U230" s="16" t="str" cm="1">
        <f t="array" ref="U230">IFERROR(_xlfn.IFS(I230="Assist",1),"")</f>
        <v/>
      </c>
      <c r="V230" s="16" t="str" cm="1">
        <f t="array" ref="V230">IFERROR(_xlfn.IFS(I230="Turnover",1),"")</f>
        <v/>
      </c>
      <c r="W230" s="16" t="str" cm="1">
        <f t="array" ref="W230">IFERROR(_xlfn.IFS(I230="Steal",1),"")</f>
        <v/>
      </c>
      <c r="X230" s="16" t="str" cm="1">
        <f t="array" ref="X230">IFERROR(_xlfn.IFS(I230="Block",1),"")</f>
        <v/>
      </c>
      <c r="Y230" s="16" t="str" cm="1">
        <f t="array" ref="Y230">IFERROR(_xlfn.IFS(I230="Block Received",1),"")</f>
        <v/>
      </c>
      <c r="Z230" s="16" t="str" cm="1">
        <f t="array" ref="Z230">IFERROR(_xlfn.IFS(I230="Foul",1,I230="Foul Technical",1,I230="Offensive Foul",1),"")</f>
        <v/>
      </c>
      <c r="AA230" s="16" t="str" cm="1">
        <f t="array" ref="AA230">IFERROR(_xlfn.IFS(I230="Foul Received",1),"")</f>
        <v/>
      </c>
      <c r="AB230" s="49" cm="1">
        <f t="array" ref="AB230">IFERROR(_xlfn.IFS(I230="Starting lineup",C230,I230="Substitution - In",C230),"")</f>
        <v>6.9444444444444441E-3</v>
      </c>
      <c r="AC230" s="46" t="str" cm="1">
        <f t="array" ref="AC230">IFERROR(_xlfn.IFS(I230="Finishing lineup",C230,I230="Substitution - Out",C230),"")</f>
        <v/>
      </c>
      <c r="AE230" s="50" t="str" cm="1">
        <f t="array" ref="AE230">IF(AC230&lt;&gt;"",LOOKUP(2,1/((G$2:G229=G230)*(AB$2:AB229&lt;&gt;"")),AB$2:AB229)-AC230,"")</f>
        <v/>
      </c>
    </row>
    <row r="231" spans="1:31" hidden="1" x14ac:dyDescent="0.35">
      <c r="A231" s="16">
        <v>4</v>
      </c>
      <c r="B231" s="19">
        <v>225</v>
      </c>
      <c r="C231" s="46">
        <v>6.9444444444444441E-3</v>
      </c>
      <c r="D231" s="16">
        <f t="shared" si="31"/>
        <v>10</v>
      </c>
      <c r="E231" s="16">
        <f t="shared" si="32"/>
        <v>0</v>
      </c>
      <c r="F231" s="16" t="s">
        <v>46</v>
      </c>
      <c r="G231" s="16" t="s">
        <v>69</v>
      </c>
      <c r="H231" s="16" t="str">
        <f>_xlfn.XLOOKUP(G231,'1-Players'!$A$2:$A$27,'1-Players'!$D$2:$D$27,"")</f>
        <v>Alfonso Plummer</v>
      </c>
      <c r="I231" s="16" t="s">
        <v>81</v>
      </c>
      <c r="K231" s="16" t="str" cm="1">
        <f t="array" ref="K231">IFERROR(_xlfn.IFS(I231="Free Throw",1,I231="2-Point Shot",2,I231="Dunk",2,I231="3-Point Shot",3),"")</f>
        <v/>
      </c>
      <c r="L231" s="16" t="str" cm="1">
        <f t="array" ref="L231">IFERROR(_xlfn.IFS(J231="Made",1,J231="Missed",0),"")</f>
        <v/>
      </c>
      <c r="M231" s="16" t="str">
        <f t="shared" si="27"/>
        <v/>
      </c>
      <c r="R231" s="16" t="str">
        <f t="shared" si="28"/>
        <v/>
      </c>
      <c r="S231" s="16" t="str" cm="1">
        <f t="array" ref="S231">IFERROR(_xlfn.IFS(I231="Offensive Rebound",1),"")</f>
        <v/>
      </c>
      <c r="T231" s="16" t="str" cm="1">
        <f t="array" ref="T231">IFERROR(_xlfn.IFS(I231="Defensive Rebound",1),"")</f>
        <v/>
      </c>
      <c r="U231" s="16" t="str" cm="1">
        <f t="array" ref="U231">IFERROR(_xlfn.IFS(I231="Assist",1),"")</f>
        <v/>
      </c>
      <c r="V231" s="16" t="str" cm="1">
        <f t="array" ref="V231">IFERROR(_xlfn.IFS(I231="Turnover",1),"")</f>
        <v/>
      </c>
      <c r="W231" s="16" t="str" cm="1">
        <f t="array" ref="W231">IFERROR(_xlfn.IFS(I231="Steal",1),"")</f>
        <v/>
      </c>
      <c r="X231" s="16" t="str" cm="1">
        <f t="array" ref="X231">IFERROR(_xlfn.IFS(I231="Block",1),"")</f>
        <v/>
      </c>
      <c r="Y231" s="16" t="str" cm="1">
        <f t="array" ref="Y231">IFERROR(_xlfn.IFS(I231="Block Received",1),"")</f>
        <v/>
      </c>
      <c r="Z231" s="16" t="str" cm="1">
        <f t="array" ref="Z231">IFERROR(_xlfn.IFS(I231="Foul",1,I231="Foul Technical",1,I231="Offensive Foul",1),"")</f>
        <v/>
      </c>
      <c r="AA231" s="16" t="str" cm="1">
        <f t="array" ref="AA231">IFERROR(_xlfn.IFS(I231="Foul Received",1),"")</f>
        <v/>
      </c>
      <c r="AB231" s="49" cm="1">
        <f t="array" ref="AB231">IFERROR(_xlfn.IFS(I231="Starting lineup",C231,I231="Substitution - In",C231),"")</f>
        <v>6.9444444444444441E-3</v>
      </c>
      <c r="AC231" s="46" t="str" cm="1">
        <f t="array" ref="AC231">IFERROR(_xlfn.IFS(I231="Finishing lineup",C231,I231="Substitution - Out",C231),"")</f>
        <v/>
      </c>
      <c r="AE231" s="50" t="str" cm="1">
        <f t="array" ref="AE231">IF(AC231&lt;&gt;"",LOOKUP(2,1/((G$2:G230=G231)*(AB$2:AB230&lt;&gt;"")),AB$2:AB230)-AC231,"")</f>
        <v/>
      </c>
    </row>
    <row r="232" spans="1:31" hidden="1" x14ac:dyDescent="0.35">
      <c r="A232" s="16">
        <v>4</v>
      </c>
      <c r="B232" s="19">
        <v>226</v>
      </c>
      <c r="C232" s="46">
        <v>6.828703703703704E-3</v>
      </c>
      <c r="D232" s="16">
        <f t="shared" si="31"/>
        <v>9</v>
      </c>
      <c r="E232" s="16">
        <f t="shared" si="32"/>
        <v>50</v>
      </c>
      <c r="F232" s="19" t="s">
        <v>46</v>
      </c>
      <c r="G232" s="16" t="s">
        <v>68</v>
      </c>
      <c r="H232" s="16" t="str">
        <f>_xlfn.XLOOKUP(G232,'1-Players'!$A$2:$A$27,'1-Players'!$D$2:$D$27,"")</f>
        <v>Dani Pérez</v>
      </c>
      <c r="I232" s="19" t="s">
        <v>83</v>
      </c>
      <c r="J232" s="19" t="s">
        <v>60</v>
      </c>
      <c r="K232" s="16" cm="1">
        <f t="array" ref="K232">IFERROR(_xlfn.IFS(I232="Free Throw",1,I232="2-Point Shot",2,I232="Dunk",2,I232="3-Point Shot",3),"")</f>
        <v>3</v>
      </c>
      <c r="L232" s="16" cm="1">
        <f t="array" ref="L232">IFERROR(_xlfn.IFS(J232="Made",1,J232="Missed",0),"")</f>
        <v>1</v>
      </c>
      <c r="M232" s="16">
        <f t="shared" si="27"/>
        <v>3</v>
      </c>
      <c r="R232" s="16" t="str">
        <f t="shared" si="28"/>
        <v>N</v>
      </c>
      <c r="S232" s="16" t="str" cm="1">
        <f t="array" ref="S232">IFERROR(_xlfn.IFS(I232="Offensive Rebound",1),"")</f>
        <v/>
      </c>
      <c r="T232" s="16" t="str" cm="1">
        <f t="array" ref="T232">IFERROR(_xlfn.IFS(I232="Defensive Rebound",1),"")</f>
        <v/>
      </c>
      <c r="U232" s="16" t="str" cm="1">
        <f t="array" ref="U232">IFERROR(_xlfn.IFS(I232="Assist",1),"")</f>
        <v/>
      </c>
      <c r="V232" s="16" t="str" cm="1">
        <f t="array" ref="V232">IFERROR(_xlfn.IFS(I232="Turnover",1),"")</f>
        <v/>
      </c>
      <c r="W232" s="16" t="str" cm="1">
        <f t="array" ref="W232">IFERROR(_xlfn.IFS(I232="Steal",1),"")</f>
        <v/>
      </c>
      <c r="X232" s="16" t="str" cm="1">
        <f t="array" ref="X232">IFERROR(_xlfn.IFS(I232="Block",1),"")</f>
        <v/>
      </c>
      <c r="Y232" s="16" t="str" cm="1">
        <f t="array" ref="Y232">IFERROR(_xlfn.IFS(I232="Block Received",1),"")</f>
        <v/>
      </c>
      <c r="Z232" s="16" t="str" cm="1">
        <f t="array" ref="Z232">IFERROR(_xlfn.IFS(I232="Foul",1,I232="Foul Technical",1,I232="Offensive Foul",1),"")</f>
        <v/>
      </c>
      <c r="AA232" s="16" t="str" cm="1">
        <f t="array" ref="AA232">IFERROR(_xlfn.IFS(I232="Foul Received",1),"")</f>
        <v/>
      </c>
      <c r="AB232" s="49" t="str" cm="1">
        <f t="array" ref="AB232">IFERROR(_xlfn.IFS(I232="Starting lineup",C232,I232="Substitution - In",C232),"")</f>
        <v/>
      </c>
      <c r="AC232" s="46" t="str" cm="1">
        <f t="array" ref="AC232">IFERROR(_xlfn.IFS(I232="Finishing lineup",C232,I232="Substitution - Out",C232),"")</f>
        <v/>
      </c>
      <c r="AE232" s="50" t="str" cm="1">
        <f t="array" ref="AE232">IF(AC232&lt;&gt;"",LOOKUP(2,1/((G$2:G231=G232)*(AB$2:AB231&lt;&gt;"")),AB$2:AB231)-AC232,"")</f>
        <v/>
      </c>
    </row>
    <row r="233" spans="1:31" hidden="1" x14ac:dyDescent="0.35">
      <c r="A233" s="16">
        <v>4</v>
      </c>
      <c r="B233" s="19">
        <v>227</v>
      </c>
      <c r="C233" s="46">
        <v>0</v>
      </c>
      <c r="D233" s="16">
        <f t="shared" si="31"/>
        <v>0</v>
      </c>
      <c r="E233" s="16">
        <f t="shared" si="32"/>
        <v>0</v>
      </c>
      <c r="F233" s="19" t="s">
        <v>16</v>
      </c>
      <c r="G233" s="16" t="s">
        <v>18</v>
      </c>
      <c r="H233" s="16" t="str">
        <f>_xlfn.XLOOKUP(G233,'1-Players'!$A$2:$A$27,'1-Players'!$D$2:$D$27,"")</f>
        <v>Corey Walden</v>
      </c>
      <c r="I233" s="16" t="s">
        <v>137</v>
      </c>
      <c r="K233" s="16" t="str" cm="1">
        <f t="array" ref="K233">IFERROR(_xlfn.IFS(I233="Free Throw",1,I233="2-Point Shot",2,I233="Dunk",2,I233="3-Point Shot",3),"")</f>
        <v/>
      </c>
      <c r="L233" s="16" t="str" cm="1">
        <f t="array" ref="L233">IFERROR(_xlfn.IFS(J233="Made",1,J233="Missed",0),"")</f>
        <v/>
      </c>
      <c r="M233" s="16" t="str">
        <f t="shared" si="27"/>
        <v/>
      </c>
      <c r="R233" s="16" t="str">
        <f t="shared" si="28"/>
        <v/>
      </c>
      <c r="S233" s="16" t="str" cm="1">
        <f t="array" ref="S233">IFERROR(_xlfn.IFS(I233="Offensive Rebound",1),"")</f>
        <v/>
      </c>
      <c r="T233" s="16" t="str" cm="1">
        <f t="array" ref="T233">IFERROR(_xlfn.IFS(I233="Defensive Rebound",1),"")</f>
        <v/>
      </c>
      <c r="U233" s="16" t="str" cm="1">
        <f t="array" ref="U233">IFERROR(_xlfn.IFS(I233="Assist",1),"")</f>
        <v/>
      </c>
      <c r="V233" s="16" t="str" cm="1">
        <f t="array" ref="V233">IFERROR(_xlfn.IFS(I233="Turnover",1),"")</f>
        <v/>
      </c>
      <c r="W233" s="16" t="str" cm="1">
        <f t="array" ref="W233">IFERROR(_xlfn.IFS(I233="Steal",1),"")</f>
        <v/>
      </c>
      <c r="X233" s="16" t="str" cm="1">
        <f t="array" ref="X233">IFERROR(_xlfn.IFS(I233="Block",1),"")</f>
        <v/>
      </c>
      <c r="Y233" s="16" t="str" cm="1">
        <f t="array" ref="Y233">IFERROR(_xlfn.IFS(I233="Block Received",1),"")</f>
        <v/>
      </c>
      <c r="Z233" s="16" t="str" cm="1">
        <f t="array" ref="Z233">IFERROR(_xlfn.IFS(I233="Foul",1,I233="Foul Technical",1,I233="Offensive Foul",1),"")</f>
        <v/>
      </c>
      <c r="AA233" s="16" t="str" cm="1">
        <f t="array" ref="AA233">IFERROR(_xlfn.IFS(I233="Foul Received",1),"")</f>
        <v/>
      </c>
      <c r="AB233" s="49" t="str" cm="1">
        <f t="array" ref="AB233">IFERROR(_xlfn.IFS(I233="Starting lineup",C233,I233="Substitution - In",C233),"")</f>
        <v/>
      </c>
      <c r="AC233" s="46" cm="1">
        <f t="array" ref="AC233">IFERROR(_xlfn.IFS(I233="Finishing lineup",C233,I233="Substitution - Out",C233),"")</f>
        <v>0</v>
      </c>
      <c r="AE233" s="50" cm="1">
        <f t="array" ref="AE233">IF(AC233&lt;&gt;"",LOOKUP(2,1/((G$2:G232=G233)*(AB$2:AB232&lt;&gt;"")),AB$2:AB232)-AC233,"")</f>
        <v>6.9444444444444441E-3</v>
      </c>
    </row>
    <row r="234" spans="1:31" hidden="1" x14ac:dyDescent="0.35">
      <c r="A234" s="16">
        <v>4</v>
      </c>
      <c r="B234" s="19">
        <v>228</v>
      </c>
      <c r="C234" s="46">
        <v>0</v>
      </c>
      <c r="D234" s="16">
        <f t="shared" si="31"/>
        <v>0</v>
      </c>
      <c r="E234" s="16">
        <f t="shared" si="32"/>
        <v>0</v>
      </c>
      <c r="F234" s="16" t="s">
        <v>16</v>
      </c>
      <c r="G234" s="16" t="s">
        <v>22</v>
      </c>
      <c r="H234" s="16" t="str">
        <f>_xlfn.XLOOKUP(G234,'1-Players'!$A$2:$A$27,'1-Players'!$D$2:$D$27,"")</f>
        <v>Oriol Paulí</v>
      </c>
      <c r="I234" s="16" t="s">
        <v>137</v>
      </c>
      <c r="K234" s="16" t="str" cm="1">
        <f t="array" ref="K234">IFERROR(_xlfn.IFS(I234="Free Throw",1,I234="2-Point Shot",2,I234="Dunk",2,I234="3-Point Shot",3),"")</f>
        <v/>
      </c>
      <c r="L234" s="16" t="str" cm="1">
        <f t="array" ref="L234">IFERROR(_xlfn.IFS(J234="Made",1,J234="Missed",0),"")</f>
        <v/>
      </c>
      <c r="M234" s="16" t="str">
        <f t="shared" si="27"/>
        <v/>
      </c>
      <c r="R234" s="16" t="str">
        <f t="shared" si="28"/>
        <v/>
      </c>
      <c r="S234" s="16" t="str" cm="1">
        <f t="array" ref="S234">IFERROR(_xlfn.IFS(I234="Offensive Rebound",1),"")</f>
        <v/>
      </c>
      <c r="T234" s="16" t="str" cm="1">
        <f t="array" ref="T234">IFERROR(_xlfn.IFS(I234="Defensive Rebound",1),"")</f>
        <v/>
      </c>
      <c r="U234" s="16" t="str" cm="1">
        <f t="array" ref="U234">IFERROR(_xlfn.IFS(I234="Assist",1),"")</f>
        <v/>
      </c>
      <c r="V234" s="16" t="str" cm="1">
        <f t="array" ref="V234">IFERROR(_xlfn.IFS(I234="Turnover",1),"")</f>
        <v/>
      </c>
      <c r="W234" s="16" t="str" cm="1">
        <f t="array" ref="W234">IFERROR(_xlfn.IFS(I234="Steal",1),"")</f>
        <v/>
      </c>
      <c r="X234" s="16" t="str" cm="1">
        <f t="array" ref="X234">IFERROR(_xlfn.IFS(I234="Block",1),"")</f>
        <v/>
      </c>
      <c r="Y234" s="16" t="str" cm="1">
        <f t="array" ref="Y234">IFERROR(_xlfn.IFS(I234="Block Received",1),"")</f>
        <v/>
      </c>
      <c r="Z234" s="16" t="str" cm="1">
        <f t="array" ref="Z234">IFERROR(_xlfn.IFS(I234="Foul",1,I234="Foul Technical",1,I234="Offensive Foul",1),"")</f>
        <v/>
      </c>
      <c r="AA234" s="16" t="str" cm="1">
        <f t="array" ref="AA234">IFERROR(_xlfn.IFS(I234="Foul Received",1),"")</f>
        <v/>
      </c>
      <c r="AB234" s="49" t="str" cm="1">
        <f t="array" ref="AB234">IFERROR(_xlfn.IFS(I234="Starting lineup",C234,I234="Substitution - In",C234),"")</f>
        <v/>
      </c>
      <c r="AC234" s="46" cm="1">
        <f t="array" ref="AC234">IFERROR(_xlfn.IFS(I234="Finishing lineup",C234,I234="Substitution - Out",C234),"")</f>
        <v>0</v>
      </c>
      <c r="AE234" s="50" cm="1">
        <f t="array" ref="AE234">IF(AC234&lt;&gt;"",LOOKUP(2,1/((G$2:G233=G234)*(AB$2:AB233&lt;&gt;"")),AB$2:AB233)-AC234,"")</f>
        <v>6.9444444444444441E-3</v>
      </c>
    </row>
    <row r="235" spans="1:31" hidden="1" x14ac:dyDescent="0.35">
      <c r="A235" s="16">
        <v>4</v>
      </c>
      <c r="B235" s="19">
        <v>229</v>
      </c>
      <c r="C235" s="46">
        <v>0</v>
      </c>
      <c r="D235" s="16">
        <f t="shared" si="31"/>
        <v>0</v>
      </c>
      <c r="E235" s="16">
        <f t="shared" si="32"/>
        <v>0</v>
      </c>
      <c r="F235" s="16" t="s">
        <v>16</v>
      </c>
      <c r="G235" s="16" t="s">
        <v>39</v>
      </c>
      <c r="H235" s="16" t="str">
        <f>_xlfn.XLOOKUP(G235,'1-Players'!$A$2:$A$27,'1-Players'!$D$2:$D$27,"")</f>
        <v>Millán Jiménez</v>
      </c>
      <c r="I235" s="16" t="s">
        <v>137</v>
      </c>
      <c r="K235" s="16" t="str" cm="1">
        <f t="array" ref="K235">IFERROR(_xlfn.IFS(I235="Free Throw",1,I235="2-Point Shot",2,I235="Dunk",2,I235="3-Point Shot",3),"")</f>
        <v/>
      </c>
      <c r="L235" s="16" t="str" cm="1">
        <f t="array" ref="L235">IFERROR(_xlfn.IFS(J235="Made",1,J235="Missed",0),"")</f>
        <v/>
      </c>
      <c r="M235" s="16" t="str">
        <f t="shared" si="27"/>
        <v/>
      </c>
      <c r="R235" s="16" t="str">
        <f t="shared" si="28"/>
        <v/>
      </c>
      <c r="S235" s="16" t="str" cm="1">
        <f t="array" ref="S235">IFERROR(_xlfn.IFS(I235="Offensive Rebound",1),"")</f>
        <v/>
      </c>
      <c r="T235" s="16" t="str" cm="1">
        <f t="array" ref="T235">IFERROR(_xlfn.IFS(I235="Defensive Rebound",1),"")</f>
        <v/>
      </c>
      <c r="U235" s="16" t="str" cm="1">
        <f t="array" ref="U235">IFERROR(_xlfn.IFS(I235="Assist",1),"")</f>
        <v/>
      </c>
      <c r="V235" s="16" t="str" cm="1">
        <f t="array" ref="V235">IFERROR(_xlfn.IFS(I235="Turnover",1),"")</f>
        <v/>
      </c>
      <c r="W235" s="16" t="str" cm="1">
        <f t="array" ref="W235">IFERROR(_xlfn.IFS(I235="Steal",1),"")</f>
        <v/>
      </c>
      <c r="X235" s="16" t="str" cm="1">
        <f t="array" ref="X235">IFERROR(_xlfn.IFS(I235="Block",1),"")</f>
        <v/>
      </c>
      <c r="Y235" s="16" t="str" cm="1">
        <f t="array" ref="Y235">IFERROR(_xlfn.IFS(I235="Block Received",1),"")</f>
        <v/>
      </c>
      <c r="Z235" s="16" t="str" cm="1">
        <f t="array" ref="Z235">IFERROR(_xlfn.IFS(I235="Foul",1,I235="Foul Technical",1,I235="Offensive Foul",1),"")</f>
        <v/>
      </c>
      <c r="AA235" s="16" t="str" cm="1">
        <f t="array" ref="AA235">IFERROR(_xlfn.IFS(I235="Foul Received",1),"")</f>
        <v/>
      </c>
      <c r="AB235" s="49" t="str" cm="1">
        <f t="array" ref="AB235">IFERROR(_xlfn.IFS(I235="Starting lineup",C235,I235="Substitution - In",C235),"")</f>
        <v/>
      </c>
      <c r="AC235" s="46" cm="1">
        <f t="array" ref="AC235">IFERROR(_xlfn.IFS(I235="Finishing lineup",C235,I235="Substitution - Out",C235),"")</f>
        <v>0</v>
      </c>
      <c r="AE235" s="50" cm="1">
        <f t="array" ref="AE235">IF(AC235&lt;&gt;"",LOOKUP(2,1/((G$2:G234=G235)*(AB$2:AB234&lt;&gt;"")),AB$2:AB234)-AC235,"")</f>
        <v>6.9444444444444441E-3</v>
      </c>
    </row>
    <row r="236" spans="1:31" hidden="1" x14ac:dyDescent="0.35">
      <c r="A236" s="16">
        <v>4</v>
      </c>
      <c r="B236" s="19">
        <v>230</v>
      </c>
      <c r="C236" s="46">
        <v>0</v>
      </c>
      <c r="D236" s="16">
        <f t="shared" si="31"/>
        <v>0</v>
      </c>
      <c r="E236" s="16">
        <f t="shared" si="32"/>
        <v>0</v>
      </c>
      <c r="F236" s="16" t="s">
        <v>16</v>
      </c>
      <c r="G236" s="16" t="s">
        <v>41</v>
      </c>
      <c r="H236" s="16" t="str">
        <f>_xlfn.XLOOKUP(G236,'1-Players'!$A$2:$A$27,'1-Players'!$D$2:$D$27,"")</f>
        <v>John Shurna</v>
      </c>
      <c r="I236" s="16" t="s">
        <v>137</v>
      </c>
      <c r="K236" s="16" t="str" cm="1">
        <f t="array" ref="K236">IFERROR(_xlfn.IFS(I236="Free Throw",1,I236="2-Point Shot",2,I236="Dunk",2,I236="3-Point Shot",3),"")</f>
        <v/>
      </c>
      <c r="L236" s="16" t="str" cm="1">
        <f t="array" ref="L236">IFERROR(_xlfn.IFS(J236="Made",1,J236="Missed",0),"")</f>
        <v/>
      </c>
      <c r="M236" s="16" t="str">
        <f t="shared" si="27"/>
        <v/>
      </c>
      <c r="R236" s="16" t="str">
        <f t="shared" si="28"/>
        <v/>
      </c>
      <c r="S236" s="16" t="str" cm="1">
        <f t="array" ref="S236">IFERROR(_xlfn.IFS(I236="Offensive Rebound",1),"")</f>
        <v/>
      </c>
      <c r="T236" s="16" t="str" cm="1">
        <f t="array" ref="T236">IFERROR(_xlfn.IFS(I236="Defensive Rebound",1),"")</f>
        <v/>
      </c>
      <c r="U236" s="16" t="str" cm="1">
        <f t="array" ref="U236">IFERROR(_xlfn.IFS(I236="Assist",1),"")</f>
        <v/>
      </c>
      <c r="V236" s="16" t="str" cm="1">
        <f t="array" ref="V236">IFERROR(_xlfn.IFS(I236="Turnover",1),"")</f>
        <v/>
      </c>
      <c r="W236" s="16" t="str" cm="1">
        <f t="array" ref="W236">IFERROR(_xlfn.IFS(I236="Steal",1),"")</f>
        <v/>
      </c>
      <c r="X236" s="16" t="str" cm="1">
        <f t="array" ref="X236">IFERROR(_xlfn.IFS(I236="Block",1),"")</f>
        <v/>
      </c>
      <c r="Y236" s="16" t="str" cm="1">
        <f t="array" ref="Y236">IFERROR(_xlfn.IFS(I236="Block Received",1),"")</f>
        <v/>
      </c>
      <c r="Z236" s="16" t="str" cm="1">
        <f t="array" ref="Z236">IFERROR(_xlfn.IFS(I236="Foul",1,I236="Foul Technical",1,I236="Offensive Foul",1),"")</f>
        <v/>
      </c>
      <c r="AA236" s="16" t="str" cm="1">
        <f t="array" ref="AA236">IFERROR(_xlfn.IFS(I236="Foul Received",1),"")</f>
        <v/>
      </c>
      <c r="AB236" s="49" t="str" cm="1">
        <f t="array" ref="AB236">IFERROR(_xlfn.IFS(I236="Starting lineup",C236,I236="Substitution - In",C236),"")</f>
        <v/>
      </c>
      <c r="AC236" s="46" cm="1">
        <f t="array" ref="AC236">IFERROR(_xlfn.IFS(I236="Finishing lineup",C236,I236="Substitution - Out",C236),"")</f>
        <v>0</v>
      </c>
      <c r="AE236" s="50" cm="1">
        <f t="array" ref="AE236">IF(AC236&lt;&gt;"",LOOKUP(2,1/((G$2:G235=G236)*(AB$2:AB235&lt;&gt;"")),AB$2:AB235)-AC236,"")</f>
        <v>6.9444444444444441E-3</v>
      </c>
    </row>
    <row r="237" spans="1:31" hidden="1" x14ac:dyDescent="0.35">
      <c r="A237" s="16">
        <v>4</v>
      </c>
      <c r="B237" s="19">
        <v>231</v>
      </c>
      <c r="C237" s="46">
        <v>0</v>
      </c>
      <c r="D237" s="16">
        <f t="shared" si="31"/>
        <v>0</v>
      </c>
      <c r="E237" s="16">
        <f t="shared" si="32"/>
        <v>0</v>
      </c>
      <c r="F237" s="16" t="s">
        <v>16</v>
      </c>
      <c r="G237" s="16" t="s">
        <v>43</v>
      </c>
      <c r="H237" s="16" t="str">
        <f>_xlfn.XLOOKUP(G237,'1-Players'!$A$2:$A$27,'1-Players'!$D$2:$D$27,"")</f>
        <v>Cameron Krutwig</v>
      </c>
      <c r="I237" s="16" t="s">
        <v>137</v>
      </c>
      <c r="K237" s="16" t="str" cm="1">
        <f t="array" ref="K237">IFERROR(_xlfn.IFS(I237="Free Throw",1,I237="2-Point Shot",2,I237="Dunk",2,I237="3-Point Shot",3),"")</f>
        <v/>
      </c>
      <c r="L237" s="16" t="str" cm="1">
        <f t="array" ref="L237">IFERROR(_xlfn.IFS(J237="Made",1,J237="Missed",0),"")</f>
        <v/>
      </c>
      <c r="M237" s="16" t="str">
        <f t="shared" si="27"/>
        <v/>
      </c>
      <c r="R237" s="16" t="str">
        <f t="shared" si="28"/>
        <v/>
      </c>
      <c r="S237" s="16" t="str" cm="1">
        <f t="array" ref="S237">IFERROR(_xlfn.IFS(I237="Offensive Rebound",1),"")</f>
        <v/>
      </c>
      <c r="T237" s="16" t="str" cm="1">
        <f t="array" ref="T237">IFERROR(_xlfn.IFS(I237="Defensive Rebound",1),"")</f>
        <v/>
      </c>
      <c r="U237" s="16" t="str" cm="1">
        <f t="array" ref="U237">IFERROR(_xlfn.IFS(I237="Assist",1),"")</f>
        <v/>
      </c>
      <c r="V237" s="16" t="str" cm="1">
        <f t="array" ref="V237">IFERROR(_xlfn.IFS(I237="Turnover",1),"")</f>
        <v/>
      </c>
      <c r="W237" s="16" t="str" cm="1">
        <f t="array" ref="W237">IFERROR(_xlfn.IFS(I237="Steal",1),"")</f>
        <v/>
      </c>
      <c r="X237" s="16" t="str" cm="1">
        <f t="array" ref="X237">IFERROR(_xlfn.IFS(I237="Block",1),"")</f>
        <v/>
      </c>
      <c r="Y237" s="16" t="str" cm="1">
        <f t="array" ref="Y237">IFERROR(_xlfn.IFS(I237="Block Received",1),"")</f>
        <v/>
      </c>
      <c r="Z237" s="16" t="str" cm="1">
        <f t="array" ref="Z237">IFERROR(_xlfn.IFS(I237="Foul",1,I237="Foul Technical",1,I237="Offensive Foul",1),"")</f>
        <v/>
      </c>
      <c r="AA237" s="16" t="str" cm="1">
        <f t="array" ref="AA237">IFERROR(_xlfn.IFS(I237="Foul Received",1),"")</f>
        <v/>
      </c>
      <c r="AB237" s="49" t="str" cm="1">
        <f t="array" ref="AB237">IFERROR(_xlfn.IFS(I237="Starting lineup",C237,I237="Substitution - In",C237),"")</f>
        <v/>
      </c>
      <c r="AC237" s="46" cm="1">
        <f t="array" ref="AC237">IFERROR(_xlfn.IFS(I237="Finishing lineup",C237,I237="Substitution - Out",C237),"")</f>
        <v>0</v>
      </c>
      <c r="AE237" s="50" cm="1">
        <f t="array" ref="AE237">IF(AC237&lt;&gt;"",LOOKUP(2,1/((G$2:G236=G237)*(AB$2:AB236&lt;&gt;"")),AB$2:AB236)-AC237,"")</f>
        <v>6.9444444444444441E-3</v>
      </c>
    </row>
    <row r="238" spans="1:31" hidden="1" x14ac:dyDescent="0.35">
      <c r="A238" s="16">
        <v>4</v>
      </c>
      <c r="B238" s="19">
        <v>232</v>
      </c>
      <c r="C238" s="46">
        <v>0</v>
      </c>
      <c r="D238" s="16">
        <f t="shared" si="31"/>
        <v>0</v>
      </c>
      <c r="E238" s="16">
        <f t="shared" si="32"/>
        <v>0</v>
      </c>
      <c r="F238" s="16" t="s">
        <v>46</v>
      </c>
      <c r="G238" s="16" t="s">
        <v>9</v>
      </c>
      <c r="H238" s="16" t="str">
        <f>_xlfn.XLOOKUP(G238,'1-Players'!$A$2:$A$27,'1-Players'!$D$2:$D$27,"")</f>
        <v>Agustín Ubal</v>
      </c>
      <c r="I238" s="16" t="s">
        <v>137</v>
      </c>
      <c r="K238" s="16" t="str" cm="1">
        <f t="array" ref="K238">IFERROR(_xlfn.IFS(I238="Free Throw",1,I238="2-Point Shot",2,I238="Dunk",2,I238="3-Point Shot",3),"")</f>
        <v/>
      </c>
      <c r="L238" s="16" t="str" cm="1">
        <f t="array" ref="L238">IFERROR(_xlfn.IFS(J238="Made",1,J238="Missed",0),"")</f>
        <v/>
      </c>
      <c r="M238" s="16" t="str">
        <f t="shared" si="27"/>
        <v/>
      </c>
      <c r="R238" s="16" t="str">
        <f t="shared" si="28"/>
        <v/>
      </c>
      <c r="S238" s="16" t="str" cm="1">
        <f t="array" ref="S238">IFERROR(_xlfn.IFS(I238="Offensive Rebound",1),"")</f>
        <v/>
      </c>
      <c r="T238" s="16" t="str" cm="1">
        <f t="array" ref="T238">IFERROR(_xlfn.IFS(I238="Defensive Rebound",1),"")</f>
        <v/>
      </c>
      <c r="U238" s="16" t="str" cm="1">
        <f t="array" ref="U238">IFERROR(_xlfn.IFS(I238="Assist",1),"")</f>
        <v/>
      </c>
      <c r="V238" s="16" t="str" cm="1">
        <f t="array" ref="V238">IFERROR(_xlfn.IFS(I238="Turnover",1),"")</f>
        <v/>
      </c>
      <c r="W238" s="16" t="str" cm="1">
        <f t="array" ref="W238">IFERROR(_xlfn.IFS(I238="Steal",1),"")</f>
        <v/>
      </c>
      <c r="X238" s="16" t="str" cm="1">
        <f t="array" ref="X238">IFERROR(_xlfn.IFS(I238="Block",1),"")</f>
        <v/>
      </c>
      <c r="Y238" s="16" t="str" cm="1">
        <f t="array" ref="Y238">IFERROR(_xlfn.IFS(I238="Block Received",1),"")</f>
        <v/>
      </c>
      <c r="Z238" s="16" t="str" cm="1">
        <f t="array" ref="Z238">IFERROR(_xlfn.IFS(I238="Foul",1,I238="Foul Technical",1,I238="Offensive Foul",1),"")</f>
        <v/>
      </c>
      <c r="AA238" s="16" t="str" cm="1">
        <f t="array" ref="AA238">IFERROR(_xlfn.IFS(I238="Foul Received",1),"")</f>
        <v/>
      </c>
      <c r="AB238" s="49" t="str" cm="1">
        <f t="array" ref="AB238">IFERROR(_xlfn.IFS(I238="Starting lineup",C238,I238="Substitution - In",C238),"")</f>
        <v/>
      </c>
      <c r="AC238" s="46" cm="1">
        <f t="array" ref="AC238">IFERROR(_xlfn.IFS(I238="Finishing lineup",C238,I238="Substitution - Out",C238),"")</f>
        <v>0</v>
      </c>
      <c r="AE238" s="50" cm="1">
        <f t="array" ref="AE238">IF(AC238&lt;&gt;"",LOOKUP(2,1/((G$2:G237=G238)*(AB$2:AB237&lt;&gt;"")),AB$2:AB237)-AC238,"")</f>
        <v>6.9444444444444441E-3</v>
      </c>
    </row>
    <row r="239" spans="1:31" hidden="1" x14ac:dyDescent="0.35">
      <c r="A239" s="16">
        <v>4</v>
      </c>
      <c r="B239" s="19">
        <v>233</v>
      </c>
      <c r="C239" s="46">
        <v>0</v>
      </c>
      <c r="D239" s="16">
        <f t="shared" si="31"/>
        <v>0</v>
      </c>
      <c r="E239" s="16">
        <f t="shared" si="32"/>
        <v>0</v>
      </c>
      <c r="F239" s="16" t="s">
        <v>46</v>
      </c>
      <c r="G239" s="16" t="s">
        <v>11</v>
      </c>
      <c r="H239" s="16" t="str">
        <f>_xlfn.XLOOKUP(G239,'1-Players'!$A$2:$A$27,'1-Players'!$D$2:$D$27,"")</f>
        <v>Marcis Steinbergs</v>
      </c>
      <c r="I239" s="16" t="s">
        <v>137</v>
      </c>
      <c r="K239" s="16" t="str" cm="1">
        <f t="array" ref="K239">IFERROR(_xlfn.IFS(I239="Free Throw",1,I239="2-Point Shot",2,I239="Dunk",2,I239="3-Point Shot",3),"")</f>
        <v/>
      </c>
      <c r="L239" s="16" t="str" cm="1">
        <f t="array" ref="L239">IFERROR(_xlfn.IFS(J239="Made",1,J239="Missed",0),"")</f>
        <v/>
      </c>
      <c r="M239" s="16" t="str">
        <f t="shared" si="27"/>
        <v/>
      </c>
      <c r="R239" s="16" t="str">
        <f t="shared" si="28"/>
        <v/>
      </c>
      <c r="S239" s="16" t="str" cm="1">
        <f t="array" ref="S239">IFERROR(_xlfn.IFS(I239="Offensive Rebound",1),"")</f>
        <v/>
      </c>
      <c r="T239" s="16" t="str" cm="1">
        <f t="array" ref="T239">IFERROR(_xlfn.IFS(I239="Defensive Rebound",1),"")</f>
        <v/>
      </c>
      <c r="U239" s="16" t="str" cm="1">
        <f t="array" ref="U239">IFERROR(_xlfn.IFS(I239="Assist",1),"")</f>
        <v/>
      </c>
      <c r="V239" s="16" t="str" cm="1">
        <f t="array" ref="V239">IFERROR(_xlfn.IFS(I239="Turnover",1),"")</f>
        <v/>
      </c>
      <c r="W239" s="16" t="str" cm="1">
        <f t="array" ref="W239">IFERROR(_xlfn.IFS(I239="Steal",1),"")</f>
        <v/>
      </c>
      <c r="X239" s="16" t="str" cm="1">
        <f t="array" ref="X239">IFERROR(_xlfn.IFS(I239="Block",1),"")</f>
        <v/>
      </c>
      <c r="Y239" s="16" t="str" cm="1">
        <f t="array" ref="Y239">IFERROR(_xlfn.IFS(I239="Block Received",1),"")</f>
        <v/>
      </c>
      <c r="Z239" s="16" t="str" cm="1">
        <f t="array" ref="Z239">IFERROR(_xlfn.IFS(I239="Foul",1,I239="Foul Technical",1,I239="Offensive Foul",1),"")</f>
        <v/>
      </c>
      <c r="AA239" s="16" t="str" cm="1">
        <f t="array" ref="AA239">IFERROR(_xlfn.IFS(I239="Foul Received",1),"")</f>
        <v/>
      </c>
      <c r="AB239" s="49" t="str" cm="1">
        <f t="array" ref="AB239">IFERROR(_xlfn.IFS(I239="Starting lineup",C239,I239="Substitution - In",C239),"")</f>
        <v/>
      </c>
      <c r="AC239" s="46" cm="1">
        <f t="array" ref="AC239">IFERROR(_xlfn.IFS(I239="Finishing lineup",C239,I239="Substitution - Out",C239),"")</f>
        <v>0</v>
      </c>
      <c r="AE239" s="50" cm="1">
        <f t="array" ref="AE239">IF(AC239&lt;&gt;"",LOOKUP(2,1/((G$2:G238=G239)*(AB$2:AB238&lt;&gt;"")),AB$2:AB238)-AC239,"")</f>
        <v>6.9444444444444441E-3</v>
      </c>
    </row>
    <row r="240" spans="1:31" hidden="1" x14ac:dyDescent="0.35">
      <c r="A240" s="16">
        <v>4</v>
      </c>
      <c r="B240" s="19">
        <v>234</v>
      </c>
      <c r="C240" s="46">
        <v>0</v>
      </c>
      <c r="D240" s="16">
        <f t="shared" si="31"/>
        <v>0</v>
      </c>
      <c r="E240" s="16">
        <f t="shared" si="32"/>
        <v>0</v>
      </c>
      <c r="F240" s="16" t="s">
        <v>46</v>
      </c>
      <c r="G240" s="16" t="s">
        <v>35</v>
      </c>
      <c r="H240" s="16" t="str">
        <f>_xlfn.XLOOKUP(G240,'1-Players'!$A$2:$A$27,'1-Players'!$D$2:$D$27,"")</f>
        <v>Grant Golden</v>
      </c>
      <c r="I240" s="16" t="s">
        <v>137</v>
      </c>
      <c r="K240" s="16" t="str" cm="1">
        <f t="array" ref="K240">IFERROR(_xlfn.IFS(I240="Free Throw",1,I240="2-Point Shot",2,I240="Dunk",2,I240="3-Point Shot",3),"")</f>
        <v/>
      </c>
      <c r="L240" s="16" t="str" cm="1">
        <f t="array" ref="L240">IFERROR(_xlfn.IFS(J240="Made",1,J240="Missed",0),"")</f>
        <v/>
      </c>
      <c r="M240" s="16" t="str">
        <f t="shared" si="27"/>
        <v/>
      </c>
      <c r="R240" s="16" t="str">
        <f t="shared" si="28"/>
        <v/>
      </c>
      <c r="S240" s="16" t="str" cm="1">
        <f t="array" ref="S240">IFERROR(_xlfn.IFS(I240="Offensive Rebound",1),"")</f>
        <v/>
      </c>
      <c r="T240" s="16" t="str" cm="1">
        <f t="array" ref="T240">IFERROR(_xlfn.IFS(I240="Defensive Rebound",1),"")</f>
        <v/>
      </c>
      <c r="U240" s="16" t="str" cm="1">
        <f t="array" ref="U240">IFERROR(_xlfn.IFS(I240="Assist",1),"")</f>
        <v/>
      </c>
      <c r="V240" s="16" t="str" cm="1">
        <f t="array" ref="V240">IFERROR(_xlfn.IFS(I240="Turnover",1),"")</f>
        <v/>
      </c>
      <c r="W240" s="16" t="str" cm="1">
        <f t="array" ref="W240">IFERROR(_xlfn.IFS(I240="Steal",1),"")</f>
        <v/>
      </c>
      <c r="X240" s="16" t="str" cm="1">
        <f t="array" ref="X240">IFERROR(_xlfn.IFS(I240="Block",1),"")</f>
        <v/>
      </c>
      <c r="Y240" s="16" t="str" cm="1">
        <f t="array" ref="Y240">IFERROR(_xlfn.IFS(I240="Block Received",1),"")</f>
        <v/>
      </c>
      <c r="Z240" s="16" t="str" cm="1">
        <f t="array" ref="Z240">IFERROR(_xlfn.IFS(I240="Foul",1,I240="Foul Technical",1,I240="Offensive Foul",1),"")</f>
        <v/>
      </c>
      <c r="AA240" s="16" t="str" cm="1">
        <f t="array" ref="AA240">IFERROR(_xlfn.IFS(I240="Foul Received",1),"")</f>
        <v/>
      </c>
      <c r="AB240" s="49" t="str" cm="1">
        <f t="array" ref="AB240">IFERROR(_xlfn.IFS(I240="Starting lineup",C240,I240="Substitution - In",C240),"")</f>
        <v/>
      </c>
      <c r="AC240" s="46" cm="1">
        <f t="array" ref="AC240">IFERROR(_xlfn.IFS(I240="Finishing lineup",C240,I240="Substitution - Out",C240),"")</f>
        <v>0</v>
      </c>
      <c r="AE240" s="50" cm="1">
        <f t="array" ref="AE240">IF(AC240&lt;&gt;"",LOOKUP(2,1/((G$2:G239=G240)*(AB$2:AB239&lt;&gt;"")),AB$2:AB239)-AC240,"")</f>
        <v>6.9444444444444441E-3</v>
      </c>
    </row>
    <row r="241" spans="1:31" hidden="1" x14ac:dyDescent="0.35">
      <c r="A241" s="16">
        <v>4</v>
      </c>
      <c r="B241" s="19">
        <v>235</v>
      </c>
      <c r="C241" s="46">
        <v>0</v>
      </c>
      <c r="D241" s="16">
        <f t="shared" si="31"/>
        <v>0</v>
      </c>
      <c r="E241" s="16">
        <f t="shared" si="32"/>
        <v>0</v>
      </c>
      <c r="F241" s="16" t="s">
        <v>46</v>
      </c>
      <c r="G241" s="16" t="s">
        <v>68</v>
      </c>
      <c r="H241" s="16" t="str">
        <f>_xlfn.XLOOKUP(G241,'1-Players'!$A$2:$A$27,'1-Players'!$D$2:$D$27,"")</f>
        <v>Dani Pérez</v>
      </c>
      <c r="I241" s="16" t="s">
        <v>137</v>
      </c>
      <c r="K241" s="16" t="str" cm="1">
        <f t="array" ref="K241">IFERROR(_xlfn.IFS(I241="Free Throw",1,I241="2-Point Shot",2,I241="Dunk",2,I241="3-Point Shot",3),"")</f>
        <v/>
      </c>
      <c r="L241" s="16" t="str" cm="1">
        <f t="array" ref="L241">IFERROR(_xlfn.IFS(J241="Made",1,J241="Missed",0),"")</f>
        <v/>
      </c>
      <c r="M241" s="16" t="str">
        <f t="shared" si="27"/>
        <v/>
      </c>
      <c r="R241" s="16" t="str">
        <f t="shared" si="28"/>
        <v/>
      </c>
      <c r="S241" s="16" t="str" cm="1">
        <f t="array" ref="S241">IFERROR(_xlfn.IFS(I241="Offensive Rebound",1),"")</f>
        <v/>
      </c>
      <c r="T241" s="16" t="str" cm="1">
        <f t="array" ref="T241">IFERROR(_xlfn.IFS(I241="Defensive Rebound",1),"")</f>
        <v/>
      </c>
      <c r="U241" s="16" t="str" cm="1">
        <f t="array" ref="U241">IFERROR(_xlfn.IFS(I241="Assist",1),"")</f>
        <v/>
      </c>
      <c r="V241" s="16" t="str" cm="1">
        <f t="array" ref="V241">IFERROR(_xlfn.IFS(I241="Turnover",1),"")</f>
        <v/>
      </c>
      <c r="W241" s="16" t="str" cm="1">
        <f t="array" ref="W241">IFERROR(_xlfn.IFS(I241="Steal",1),"")</f>
        <v/>
      </c>
      <c r="X241" s="16" t="str" cm="1">
        <f t="array" ref="X241">IFERROR(_xlfn.IFS(I241="Block",1),"")</f>
        <v/>
      </c>
      <c r="Y241" s="16" t="str" cm="1">
        <f t="array" ref="Y241">IFERROR(_xlfn.IFS(I241="Block Received",1),"")</f>
        <v/>
      </c>
      <c r="Z241" s="16" t="str" cm="1">
        <f t="array" ref="Z241">IFERROR(_xlfn.IFS(I241="Foul",1,I241="Foul Technical",1,I241="Offensive Foul",1),"")</f>
        <v/>
      </c>
      <c r="AA241" s="16" t="str" cm="1">
        <f t="array" ref="AA241">IFERROR(_xlfn.IFS(I241="Foul Received",1),"")</f>
        <v/>
      </c>
      <c r="AB241" s="49" t="str" cm="1">
        <f t="array" ref="AB241">IFERROR(_xlfn.IFS(I241="Starting lineup",C241,I241="Substitution - In",C241),"")</f>
        <v/>
      </c>
      <c r="AC241" s="46" cm="1">
        <f t="array" ref="AC241">IFERROR(_xlfn.IFS(I241="Finishing lineup",C241,I241="Substitution - Out",C241),"")</f>
        <v>0</v>
      </c>
      <c r="AE241" s="50" cm="1">
        <f t="array" ref="AE241">IF(AC241&lt;&gt;"",LOOKUP(2,1/((G$2:G240=G241)*(AB$2:AB240&lt;&gt;"")),AB$2:AB240)-AC241,"")</f>
        <v>6.9444444444444441E-3</v>
      </c>
    </row>
    <row r="242" spans="1:31" hidden="1" x14ac:dyDescent="0.35">
      <c r="A242" s="16">
        <v>4</v>
      </c>
      <c r="B242" s="19">
        <v>236</v>
      </c>
      <c r="C242" s="46">
        <v>0</v>
      </c>
      <c r="D242" s="16">
        <f t="shared" si="31"/>
        <v>0</v>
      </c>
      <c r="E242" s="16">
        <f t="shared" si="32"/>
        <v>0</v>
      </c>
      <c r="F242" s="16" t="s">
        <v>46</v>
      </c>
      <c r="G242" s="16" t="s">
        <v>69</v>
      </c>
      <c r="H242" s="16" t="str">
        <f>_xlfn.XLOOKUP(G242,'1-Players'!$A$2:$A$27,'1-Players'!$D$2:$D$27,"")</f>
        <v>Alfonso Plummer</v>
      </c>
      <c r="I242" s="16" t="s">
        <v>137</v>
      </c>
      <c r="K242" s="16" t="str" cm="1">
        <f t="array" ref="K242">IFERROR(_xlfn.IFS(I242="Free Throw",1,I242="2-Point Shot",2,I242="Dunk",2,I242="3-Point Shot",3),"")</f>
        <v/>
      </c>
      <c r="L242" s="16" t="str" cm="1">
        <f t="array" ref="L242">IFERROR(_xlfn.IFS(J242="Made",1,J242="Missed",0),"")</f>
        <v/>
      </c>
      <c r="M242" s="16" t="str">
        <f t="shared" si="27"/>
        <v/>
      </c>
      <c r="R242" s="16" t="str">
        <f t="shared" si="28"/>
        <v/>
      </c>
      <c r="S242" s="16" t="str" cm="1">
        <f t="array" ref="S242">IFERROR(_xlfn.IFS(I242="Offensive Rebound",1),"")</f>
        <v/>
      </c>
      <c r="T242" s="16" t="str" cm="1">
        <f t="array" ref="T242">IFERROR(_xlfn.IFS(I242="Defensive Rebound",1),"")</f>
        <v/>
      </c>
      <c r="U242" s="16" t="str" cm="1">
        <f t="array" ref="U242">IFERROR(_xlfn.IFS(I242="Assist",1),"")</f>
        <v/>
      </c>
      <c r="V242" s="16" t="str" cm="1">
        <f t="array" ref="V242">IFERROR(_xlfn.IFS(I242="Turnover",1),"")</f>
        <v/>
      </c>
      <c r="W242" s="16" t="str" cm="1">
        <f t="array" ref="W242">IFERROR(_xlfn.IFS(I242="Steal",1),"")</f>
        <v/>
      </c>
      <c r="X242" s="16" t="str" cm="1">
        <f t="array" ref="X242">IFERROR(_xlfn.IFS(I242="Block",1),"")</f>
        <v/>
      </c>
      <c r="Y242" s="16" t="str" cm="1">
        <f t="array" ref="Y242">IFERROR(_xlfn.IFS(I242="Block Received",1),"")</f>
        <v/>
      </c>
      <c r="Z242" s="16" t="str" cm="1">
        <f t="array" ref="Z242">IFERROR(_xlfn.IFS(I242="Foul",1,I242="Foul Technical",1,I242="Offensive Foul",1),"")</f>
        <v/>
      </c>
      <c r="AA242" s="16" t="str" cm="1">
        <f t="array" ref="AA242">IFERROR(_xlfn.IFS(I242="Foul Received",1),"")</f>
        <v/>
      </c>
      <c r="AB242" s="49" t="str" cm="1">
        <f t="array" ref="AB242">IFERROR(_xlfn.IFS(I242="Starting lineup",C242,I242="Substitution - In",C242),"")</f>
        <v/>
      </c>
      <c r="AC242" s="46" cm="1">
        <f t="array" ref="AC242">IFERROR(_xlfn.IFS(I242="Finishing lineup",C242,I242="Substitution - Out",C242),"")</f>
        <v>0</v>
      </c>
      <c r="AE242" s="50" cm="1">
        <f t="array" ref="AE242">IF(AC242&lt;&gt;"",LOOKUP(2,1/((G$2:G241=G242)*(AB$2:AB241&lt;&gt;"")),AB$2:AB241)-AC242,"")</f>
        <v>6.9444444444444441E-3</v>
      </c>
    </row>
  </sheetData>
  <autoFilter ref="C1:AC242" xr:uid="{5C54AC90-15B3-4FEA-BFFD-480E66C89DDC}">
    <filterColumn colId="3">
      <filters>
        <filter val="LLEIDA"/>
      </filters>
    </filterColumn>
    <filterColumn colId="6">
      <filters>
        <filter val="2-Point Shot"/>
        <filter val="3-Point Shot"/>
        <filter val="Dunk"/>
      </filters>
    </filterColumn>
    <filterColumn colId="8">
      <filters>
        <filter val="3"/>
      </filters>
    </filterColumn>
  </autoFilter>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6D347-DD47-4D9B-A05B-EC1FE1491E80}">
  <dimension ref="A1:P27"/>
  <sheetViews>
    <sheetView zoomScale="47" zoomScaleNormal="65" workbookViewId="0">
      <selection sqref="A1:XFD1048576"/>
    </sheetView>
  </sheetViews>
  <sheetFormatPr baseColWidth="10" defaultRowHeight="14.5" x14ac:dyDescent="0.35"/>
  <cols>
    <col min="1" max="1" width="14.81640625" style="5" customWidth="1"/>
    <col min="2" max="2" width="20.81640625" style="5" customWidth="1"/>
    <col min="3" max="3" width="11.26953125" style="5" customWidth="1"/>
    <col min="4" max="4" width="19.36328125" style="5" customWidth="1"/>
    <col min="5" max="5" width="16.6328125" style="5" customWidth="1"/>
    <col min="6" max="6" width="19.453125" style="5" customWidth="1"/>
    <col min="7" max="7" width="19.36328125" style="5" customWidth="1"/>
    <col min="8" max="8" width="22.81640625" style="5" customWidth="1"/>
    <col min="9" max="9" width="16.1796875" style="5" customWidth="1"/>
    <col min="10" max="10" width="40.36328125" style="5" customWidth="1"/>
    <col min="11" max="11" width="38.81640625" style="5" customWidth="1"/>
    <col min="12" max="12" width="13.90625" style="5" customWidth="1"/>
    <col min="13" max="13" width="27.08984375" style="5" customWidth="1"/>
    <col min="14" max="16384" width="10.90625" style="5"/>
  </cols>
  <sheetData>
    <row r="1" spans="1:16" s="4" customFormat="1" x14ac:dyDescent="0.35">
      <c r="A1" s="4" t="s">
        <v>0</v>
      </c>
      <c r="B1" s="4" t="s">
        <v>3</v>
      </c>
      <c r="C1" s="4" t="s">
        <v>5</v>
      </c>
      <c r="D1" s="4" t="s">
        <v>128</v>
      </c>
      <c r="E1" s="4" t="s">
        <v>131</v>
      </c>
      <c r="F1" s="4" t="s">
        <v>129</v>
      </c>
      <c r="G1" s="4" t="s">
        <v>130</v>
      </c>
      <c r="H1" s="29" t="s">
        <v>132</v>
      </c>
      <c r="I1" s="20" t="s">
        <v>127</v>
      </c>
      <c r="J1" s="4" t="s">
        <v>134</v>
      </c>
      <c r="K1" s="4" t="s">
        <v>135</v>
      </c>
      <c r="L1" s="4" t="s">
        <v>133</v>
      </c>
      <c r="M1" s="4" t="s">
        <v>136</v>
      </c>
      <c r="O1" s="41" t="s">
        <v>163</v>
      </c>
      <c r="P1" s="4" t="s">
        <v>165</v>
      </c>
    </row>
    <row r="2" spans="1:16" x14ac:dyDescent="0.35">
      <c r="A2" s="2" t="s">
        <v>27</v>
      </c>
      <c r="B2" s="2" t="s">
        <v>28</v>
      </c>
      <c r="C2" s="2" t="s">
        <v>71</v>
      </c>
      <c r="D2" s="11">
        <f>_xlfn.MAXIFS('2-DATASET'!AB:AB,'2-DATASET'!G:G,'1-Players'!A2,'2-DATASET'!A:A,$O$2)</f>
        <v>0</v>
      </c>
      <c r="E2" s="11">
        <f>_xlfn.MINIFS('2-DATASET'!AB:AB,'2-DATASET'!G:G,'1-Players'!A2,'2-DATASET'!A:A,$O$2)</f>
        <v>0</v>
      </c>
      <c r="F2" s="11">
        <f>_xlfn.MAXIFS('2-DATASET'!AC:AC,'2-DATASET'!G:G,'1-Players'!A2,'2-DATASET'!A:A,$O$2)</f>
        <v>0</v>
      </c>
      <c r="G2" s="11">
        <f>_xlfn.MINIFS('2-DATASET'!AC:AC,'2-DATASET'!G:G,'1-Players'!A2,'2-DATASET'!A:A,$O$2)</f>
        <v>0</v>
      </c>
      <c r="H2" s="2" t="b">
        <f>IF(D2=0,FALSE,TRUE)</f>
        <v>0</v>
      </c>
      <c r="I2" s="2" t="b">
        <f>OR(AND(IF(G2&gt;E2,TRUE,FALSE),H2=TRUE),AND(G2=0,H2=TRUE))</f>
        <v>0</v>
      </c>
      <c r="J2" s="11">
        <f>IF(I2=TRUE,E2,0)</f>
        <v>0</v>
      </c>
      <c r="K2" s="11">
        <f>SUMIFS('2-DATASET'!AD:AD,'2-DATASET'!G:G,'3-Mins_Played_1Q'!A2,'2-DATASET'!A:A,$O$2)</f>
        <v>0</v>
      </c>
      <c r="L2" s="11">
        <f>J2+K2</f>
        <v>0</v>
      </c>
      <c r="O2" s="5">
        <v>2</v>
      </c>
    </row>
    <row r="3" spans="1:16" x14ac:dyDescent="0.35">
      <c r="A3" s="2" t="s">
        <v>73</v>
      </c>
      <c r="B3" s="2" t="s">
        <v>6</v>
      </c>
      <c r="C3" s="2" t="s">
        <v>72</v>
      </c>
      <c r="D3" s="11">
        <f>_xlfn.MAXIFS('2-DATASET'!AB:AB,'2-DATASET'!G:G,'1-Players'!A3,'2-DATASET'!A:A,$O$2)</f>
        <v>0</v>
      </c>
      <c r="E3" s="11">
        <f>_xlfn.MINIFS('2-DATASET'!AB:AB,'2-DATASET'!G:G,'1-Players'!A3,'2-DATASET'!A:A,$O$2)</f>
        <v>0</v>
      </c>
      <c r="F3" s="11">
        <f>_xlfn.MAXIFS('2-DATASET'!AC:AC,'2-DATASET'!G:G,'1-Players'!A3)</f>
        <v>4.3055555555555555E-3</v>
      </c>
      <c r="G3" s="11">
        <f>_xlfn.MINIFS('2-DATASET'!AC:AC,'2-DATASET'!G:G,'1-Players'!A3)</f>
        <v>4.3055555555555555E-3</v>
      </c>
      <c r="H3" s="2" t="b">
        <f t="shared" ref="H3:H25" si="0">IF(D3=0,FALSE,TRUE)</f>
        <v>0</v>
      </c>
      <c r="I3" s="2" t="b">
        <f t="shared" ref="I3:I25" si="1">OR(AND(IF(G3&gt;E3,TRUE,FALSE),H3=TRUE),AND(G3=0,H3=TRUE))</f>
        <v>0</v>
      </c>
      <c r="J3" s="11">
        <f>IF(I3=TRUE,E3,0)</f>
        <v>0</v>
      </c>
      <c r="K3" s="11">
        <f>SUMIFS('2-DATASET'!AD:AD,'2-DATASET'!G:G,'3-Mins_Played_1Q'!A3,'2-DATASET'!A:A,$O$2)</f>
        <v>0</v>
      </c>
      <c r="L3" s="11">
        <f t="shared" ref="L3:L25" si="2">J3+K3</f>
        <v>0</v>
      </c>
    </row>
    <row r="4" spans="1:16" x14ac:dyDescent="0.35">
      <c r="A4" s="2" t="s">
        <v>7</v>
      </c>
      <c r="B4" s="2" t="s">
        <v>8</v>
      </c>
      <c r="C4" s="2" t="s">
        <v>72</v>
      </c>
      <c r="D4" s="11">
        <f>_xlfn.MAXIFS('2-DATASET'!AB:AB,'2-DATASET'!G:G,'1-Players'!A4,'2-DATASET'!A:A,$O$2)</f>
        <v>0</v>
      </c>
      <c r="E4" s="11">
        <f>_xlfn.MINIFS('2-DATASET'!AB:AB,'2-DATASET'!G:G,'1-Players'!A4,'2-DATASET'!A:A,$O$2)</f>
        <v>0</v>
      </c>
      <c r="F4" s="11">
        <f>_xlfn.MAXIFS('2-DATASET'!AC:AC,'2-DATASET'!G:G,'1-Players'!A4)</f>
        <v>3.1828703703703702E-3</v>
      </c>
      <c r="G4" s="11">
        <f>_xlfn.MINIFS('2-DATASET'!AC:AC,'2-DATASET'!G:G,'1-Players'!A4)</f>
        <v>3.1828703703703702E-3</v>
      </c>
      <c r="H4" s="2" t="b">
        <f t="shared" si="0"/>
        <v>0</v>
      </c>
      <c r="I4" s="2" t="b">
        <f t="shared" si="1"/>
        <v>0</v>
      </c>
      <c r="J4" s="11">
        <f t="shared" ref="J4:J25" si="3">IF(I4=TRUE,E4,0)</f>
        <v>0</v>
      </c>
      <c r="K4" s="11">
        <f>SUMIFS('2-DATASET'!AD:AD,'2-DATASET'!G:G,'3-Mins_Played_1Q'!A4,'2-DATASET'!A:A,$O$2)</f>
        <v>0</v>
      </c>
      <c r="L4" s="11">
        <f t="shared" si="2"/>
        <v>0</v>
      </c>
    </row>
    <row r="5" spans="1:16" x14ac:dyDescent="0.35">
      <c r="A5" s="21" t="s">
        <v>9</v>
      </c>
      <c r="B5" s="21" t="s">
        <v>32</v>
      </c>
      <c r="C5" s="21" t="s">
        <v>71</v>
      </c>
      <c r="D5" s="23">
        <f>_xlfn.MAXIFS('2-DATASET'!AB:AB,'2-DATASET'!G:G,'1-Players'!A5,'2-DATASET'!A:A,$O$2)</f>
        <v>6.9444444444444441E-3</v>
      </c>
      <c r="E5" s="23">
        <f>_xlfn.MINIFS('2-DATASET'!AB:AB,'2-DATASET'!G:G,'1-Players'!A5,'2-DATASET'!A:A,$O$2)</f>
        <v>6.9444444444444441E-3</v>
      </c>
      <c r="F5" s="23">
        <f>_xlfn.MAXIFS('2-DATASET'!AC:AC,'2-DATASET'!G:G,'1-Players'!A5)</f>
        <v>0</v>
      </c>
      <c r="G5" s="23">
        <f>_xlfn.MINIFS('2-DATASET'!AC:AC,'2-DATASET'!G:G,'1-Players'!A5)</f>
        <v>0</v>
      </c>
      <c r="H5" s="21" t="b">
        <f t="shared" si="0"/>
        <v>1</v>
      </c>
      <c r="I5" s="21" t="b">
        <f t="shared" si="1"/>
        <v>1</v>
      </c>
      <c r="J5" s="23">
        <f>IF(I5=TRUE,E5,0)</f>
        <v>6.9444444444444441E-3</v>
      </c>
      <c r="K5" s="23">
        <f>SUMIFS('2-DATASET'!AD:AD,'2-DATASET'!G:G,'3-Mins_Played_1Q'!A5,'2-DATASET'!A:A,$O$2)</f>
        <v>0</v>
      </c>
      <c r="L5" s="23">
        <f t="shared" si="2"/>
        <v>6.9444444444444441E-3</v>
      </c>
    </row>
    <row r="6" spans="1:16" x14ac:dyDescent="0.35">
      <c r="A6" s="21" t="s">
        <v>11</v>
      </c>
      <c r="B6" s="21" t="s">
        <v>33</v>
      </c>
      <c r="C6" s="21" t="s">
        <v>72</v>
      </c>
      <c r="D6" s="23">
        <f>_xlfn.MAXIFS('2-DATASET'!AB:AB,'2-DATASET'!G:G,'1-Players'!A6,'2-DATASET'!A:A,$O$2)</f>
        <v>6.9444444444444441E-3</v>
      </c>
      <c r="E6" s="23">
        <f>_xlfn.MINIFS('2-DATASET'!AB:AB,'2-DATASET'!G:G,'1-Players'!A6,'2-DATASET'!A:A,$O$2)</f>
        <v>6.9444444444444441E-3</v>
      </c>
      <c r="F6" s="23">
        <f>_xlfn.MAXIFS('2-DATASET'!AC:AC,'2-DATASET'!G:G,'1-Players'!A6)</f>
        <v>4.6990740740740743E-3</v>
      </c>
      <c r="G6" s="23">
        <f>_xlfn.MINIFS('2-DATASET'!AC:AC,'2-DATASET'!G:G,'1-Players'!A6)</f>
        <v>0</v>
      </c>
      <c r="H6" s="21" t="b">
        <f t="shared" si="0"/>
        <v>1</v>
      </c>
      <c r="I6" s="21" t="b">
        <f t="shared" si="1"/>
        <v>1</v>
      </c>
      <c r="J6" s="23">
        <f>IF(I6=TRUE,E6,0)</f>
        <v>6.9444444444444441E-3</v>
      </c>
      <c r="K6" s="23">
        <f>SUMIFS('2-DATASET'!AD:AD,'2-DATASET'!G:G,'3-Mins_Played_1Q'!A6,'2-DATASET'!A:A,$O$2)</f>
        <v>0</v>
      </c>
      <c r="L6" s="23">
        <f t="shared" si="2"/>
        <v>6.9444444444444441E-3</v>
      </c>
    </row>
    <row r="7" spans="1:16" x14ac:dyDescent="0.35">
      <c r="A7" s="30" t="s">
        <v>66</v>
      </c>
      <c r="B7" s="30" t="s">
        <v>14</v>
      </c>
      <c r="C7" s="30" t="s">
        <v>71</v>
      </c>
      <c r="D7" s="31">
        <f>_xlfn.MAXIFS('2-DATASET'!AB:AB,'2-DATASET'!G:G,'1-Players'!A7,'2-DATASET'!A:A,$O$2)</f>
        <v>0</v>
      </c>
      <c r="E7" s="31">
        <f>_xlfn.MINIFS('2-DATASET'!AB:AB,'2-DATASET'!G:G,'1-Players'!A7,'2-DATASET'!A:A,$O$2)</f>
        <v>0</v>
      </c>
      <c r="F7" s="31">
        <f>_xlfn.MAXIFS('2-DATASET'!AC:AC,'2-DATASET'!G:G,'1-Players'!A7)</f>
        <v>0</v>
      </c>
      <c r="G7" s="31">
        <f>_xlfn.MINIFS('2-DATASET'!AC:AC,'2-DATASET'!G:G,'1-Players'!A7)</f>
        <v>0</v>
      </c>
      <c r="H7" s="30" t="b">
        <f t="shared" si="0"/>
        <v>0</v>
      </c>
      <c r="I7" s="30" t="b">
        <f t="shared" si="1"/>
        <v>0</v>
      </c>
      <c r="J7" s="31">
        <f t="shared" si="3"/>
        <v>0</v>
      </c>
      <c r="K7" s="11">
        <f>SUMIFS('2-DATASET'!AD:AD,'2-DATASET'!G:G,'3-Mins_Played_1Q'!A7,'2-DATASET'!A:A,$O$2)</f>
        <v>0</v>
      </c>
      <c r="L7" s="11">
        <f t="shared" si="2"/>
        <v>0</v>
      </c>
    </row>
    <row r="8" spans="1:16" x14ac:dyDescent="0.35">
      <c r="A8" s="28" t="s">
        <v>70</v>
      </c>
      <c r="B8" s="2" t="s">
        <v>65</v>
      </c>
      <c r="C8" s="2" t="s">
        <v>71</v>
      </c>
      <c r="D8" s="11">
        <f>_xlfn.MAXIFS('2-DATASET'!AB:AB,'2-DATASET'!G:G,'1-Players'!A8,'2-DATASET'!A:A,$O$2)</f>
        <v>0</v>
      </c>
      <c r="E8" s="11">
        <f>_xlfn.MINIFS('2-DATASET'!AB:AB,'2-DATASET'!G:G,'1-Players'!A8,'2-DATASET'!A:A,$O$2)</f>
        <v>0</v>
      </c>
      <c r="F8" s="11">
        <f>_xlfn.MAXIFS('2-DATASET'!AC:AC,'2-DATASET'!G:G,'1-Players'!A8)</f>
        <v>1.5509259259259259E-3</v>
      </c>
      <c r="G8" s="23">
        <f>_xlfn.MINIFS('2-DATASET'!AC:AC,'2-DATASET'!G:G,'1-Players'!A8)</f>
        <v>1.5509259259259259E-3</v>
      </c>
      <c r="H8" s="2" t="b">
        <f t="shared" si="0"/>
        <v>0</v>
      </c>
      <c r="I8" s="2" t="b">
        <f t="shared" si="1"/>
        <v>0</v>
      </c>
      <c r="J8" s="11">
        <f>IF(I8=TRUE,E8,0)</f>
        <v>0</v>
      </c>
      <c r="K8" s="11">
        <f>SUMIFS('2-DATASET'!AD:AD,'2-DATASET'!G:G,'3-Mins_Played_1Q'!A8,'2-DATASET'!A:A,$O$2)</f>
        <v>0</v>
      </c>
      <c r="L8" s="11">
        <f>J8+K8</f>
        <v>0</v>
      </c>
    </row>
    <row r="9" spans="1:16" x14ac:dyDescent="0.35">
      <c r="A9" s="2" t="s">
        <v>13</v>
      </c>
      <c r="B9" s="2" t="s">
        <v>12</v>
      </c>
      <c r="C9" s="2" t="s">
        <v>72</v>
      </c>
      <c r="D9" s="11">
        <f>_xlfn.MAXIFS('2-DATASET'!AB:AB,'2-DATASET'!G:G,'1-Players'!A9,'2-DATASET'!A:A,$O$2)</f>
        <v>0</v>
      </c>
      <c r="E9" s="11">
        <f>_xlfn.MINIFS('2-DATASET'!AB:AB,'2-DATASET'!G:G,'1-Players'!A9,'2-DATASET'!A:A,$O$2)</f>
        <v>0</v>
      </c>
      <c r="F9" s="11">
        <f>_xlfn.MAXIFS('2-DATASET'!AC:AC,'2-DATASET'!G:G,'1-Players'!A9)</f>
        <v>3.6342592592592594E-3</v>
      </c>
      <c r="G9" s="11">
        <f>_xlfn.MINIFS('2-DATASET'!AC:AC,'2-DATASET'!G:G,'1-Players'!A9)</f>
        <v>3.6342592592592594E-3</v>
      </c>
      <c r="H9" s="2" t="b">
        <f t="shared" si="0"/>
        <v>0</v>
      </c>
      <c r="I9" s="2" t="b">
        <f t="shared" si="1"/>
        <v>0</v>
      </c>
      <c r="J9" s="11">
        <f t="shared" si="3"/>
        <v>0</v>
      </c>
      <c r="K9" s="11">
        <f>SUMIFS('2-DATASET'!AD:AD,'2-DATASET'!G:G,'3-Mins_Played_1Q'!A9,'2-DATASET'!A:A,$O$2)</f>
        <v>0</v>
      </c>
      <c r="L9" s="11">
        <f t="shared" si="2"/>
        <v>0</v>
      </c>
    </row>
    <row r="10" spans="1:16" x14ac:dyDescent="0.35">
      <c r="A10" s="21" t="s">
        <v>35</v>
      </c>
      <c r="B10" s="21" t="s">
        <v>78</v>
      </c>
      <c r="C10" s="21" t="s">
        <v>72</v>
      </c>
      <c r="D10" s="23">
        <f>_xlfn.MAXIFS('2-DATASET'!AB:AB,'2-DATASET'!G:G,'1-Players'!A10,'2-DATASET'!A:A,$O$2)</f>
        <v>6.9444444444444441E-3</v>
      </c>
      <c r="E10" s="23">
        <f>_xlfn.MINIFS('2-DATASET'!AB:AB,'2-DATASET'!G:G,'1-Players'!A10,'2-DATASET'!A:A,$O$2)</f>
        <v>6.9444444444444441E-3</v>
      </c>
      <c r="F10" s="23">
        <f>_xlfn.MAXIFS('2-DATASET'!AC:AC,'2-DATASET'!G:G,'1-Players'!A10)</f>
        <v>3.9930555555555552E-3</v>
      </c>
      <c r="G10" s="23">
        <f>_xlfn.MINIFS('2-DATASET'!AC:AC,'2-DATASET'!G:G,'1-Players'!A10)</f>
        <v>0</v>
      </c>
      <c r="H10" s="21" t="b">
        <f t="shared" si="0"/>
        <v>1</v>
      </c>
      <c r="I10" s="21" t="b">
        <f t="shared" si="1"/>
        <v>1</v>
      </c>
      <c r="J10" s="23">
        <f t="shared" si="3"/>
        <v>6.9444444444444441E-3</v>
      </c>
      <c r="K10" s="23">
        <f>SUMIFS('2-DATASET'!AD:AD,'2-DATASET'!G:G,'3-Mins_Played_1Q'!A10,'2-DATASET'!A:A,$O$2)</f>
        <v>0</v>
      </c>
      <c r="L10" s="23">
        <f t="shared" si="2"/>
        <v>6.9444444444444441E-3</v>
      </c>
    </row>
    <row r="11" spans="1:16" x14ac:dyDescent="0.35">
      <c r="A11" s="30" t="s">
        <v>67</v>
      </c>
      <c r="B11" s="30" t="s">
        <v>79</v>
      </c>
      <c r="C11" s="30" t="s">
        <v>71</v>
      </c>
      <c r="D11" s="31">
        <f>_xlfn.MAXIFS('2-DATASET'!AB:AB,'2-DATASET'!G:G,'1-Players'!A11,'2-DATASET'!A:A,$O$2)</f>
        <v>0</v>
      </c>
      <c r="E11" s="31">
        <f>_xlfn.MINIFS('2-DATASET'!AB:AB,'2-DATASET'!G:G,'1-Players'!A11,'2-DATASET'!A:A,$O$2)</f>
        <v>0</v>
      </c>
      <c r="F11" s="31">
        <f>_xlfn.MAXIFS('2-DATASET'!AC:AC,'2-DATASET'!G:G,'1-Players'!A11)</f>
        <v>0</v>
      </c>
      <c r="G11" s="31">
        <f>_xlfn.MINIFS('2-DATASET'!AC:AC,'2-DATASET'!G:G,'1-Players'!A11)</f>
        <v>0</v>
      </c>
      <c r="H11" s="30" t="b">
        <f t="shared" si="0"/>
        <v>0</v>
      </c>
      <c r="I11" s="30" t="b">
        <f t="shared" si="1"/>
        <v>0</v>
      </c>
      <c r="J11" s="31">
        <f t="shared" si="3"/>
        <v>0</v>
      </c>
      <c r="K11" s="11">
        <f>SUMIFS('2-DATASET'!AD:AD,'2-DATASET'!G:G,'3-Mins_Played_1Q'!A11,'2-DATASET'!A:A,$O$2)</f>
        <v>0</v>
      </c>
      <c r="L11" s="11">
        <f t="shared" si="2"/>
        <v>0</v>
      </c>
    </row>
    <row r="12" spans="1:16" x14ac:dyDescent="0.35">
      <c r="A12" s="21" t="s">
        <v>68</v>
      </c>
      <c r="B12" s="21" t="s">
        <v>10</v>
      </c>
      <c r="C12" s="21" t="s">
        <v>71</v>
      </c>
      <c r="D12" s="23">
        <f>_xlfn.MAXIFS('2-DATASET'!AB:AB,'2-DATASET'!G:G,'1-Players'!A12,'2-DATASET'!A:A,$O$2)</f>
        <v>6.9444444444444441E-3</v>
      </c>
      <c r="E12" s="23">
        <f>_xlfn.MINIFS('2-DATASET'!AB:AB,'2-DATASET'!G:G,'1-Players'!A12,'2-DATASET'!A:A,$O$2)</f>
        <v>6.9444444444444441E-3</v>
      </c>
      <c r="F12" s="23">
        <f>_xlfn.MAXIFS('2-DATASET'!AC:AC,'2-DATASET'!G:G,'1-Players'!A12)</f>
        <v>0</v>
      </c>
      <c r="G12" s="23">
        <f>_xlfn.MINIFS('2-DATASET'!AC:AC,'2-DATASET'!G:G,'1-Players'!A12)</f>
        <v>0</v>
      </c>
      <c r="H12" s="21" t="b">
        <f t="shared" si="0"/>
        <v>1</v>
      </c>
      <c r="I12" s="21" t="b">
        <f t="shared" si="1"/>
        <v>1</v>
      </c>
      <c r="J12" s="23">
        <f t="shared" si="3"/>
        <v>6.9444444444444441E-3</v>
      </c>
      <c r="K12" s="23">
        <f>SUMIFS('2-DATASET'!AD:AD,'2-DATASET'!G:G,'3-Mins_Played_1Q'!A12,'2-DATASET'!A:A,$O$2)</f>
        <v>0</v>
      </c>
      <c r="L12" s="23">
        <f t="shared" si="2"/>
        <v>6.9444444444444441E-3</v>
      </c>
    </row>
    <row r="13" spans="1:16" x14ac:dyDescent="0.35">
      <c r="A13" s="21" t="s">
        <v>69</v>
      </c>
      <c r="B13" s="21" t="s">
        <v>80</v>
      </c>
      <c r="C13" s="21" t="s">
        <v>71</v>
      </c>
      <c r="D13" s="23">
        <f>_xlfn.MAXIFS('2-DATASET'!AB:AB,'2-DATASET'!G:G,'1-Players'!A13,'2-DATASET'!A:A,$O$2)</f>
        <v>6.9444444444444441E-3</v>
      </c>
      <c r="E13" s="23">
        <f>_xlfn.MINIFS('2-DATASET'!AB:AB,'2-DATASET'!G:G,'1-Players'!A13,'2-DATASET'!A:A,$O$2)</f>
        <v>6.9444444444444441E-3</v>
      </c>
      <c r="F13" s="23">
        <f>_xlfn.MAXIFS('2-DATASET'!AC:AC,'2-DATASET'!G:G,'1-Players'!A13)</f>
        <v>0</v>
      </c>
      <c r="G13" s="23">
        <f>_xlfn.MINIFS('2-DATASET'!AC:AC,'2-DATASET'!G:G,'1-Players'!A13)</f>
        <v>0</v>
      </c>
      <c r="H13" s="21" t="b">
        <f t="shared" si="0"/>
        <v>1</v>
      </c>
      <c r="I13" s="21" t="b">
        <f t="shared" si="1"/>
        <v>1</v>
      </c>
      <c r="J13" s="23">
        <f t="shared" si="3"/>
        <v>6.9444444444444441E-3</v>
      </c>
      <c r="K13" s="23">
        <f>SUMIFS('2-DATASET'!AD:AD,'2-DATASET'!G:G,'3-Mins_Played_1Q'!A13,'2-DATASET'!A:A,$O$2)</f>
        <v>0</v>
      </c>
      <c r="L13" s="23">
        <f t="shared" si="2"/>
        <v>6.9444444444444441E-3</v>
      </c>
    </row>
    <row r="14" spans="1:16" x14ac:dyDescent="0.35">
      <c r="A14" s="3" t="s">
        <v>15</v>
      </c>
      <c r="B14" s="3" t="s">
        <v>17</v>
      </c>
      <c r="C14" s="3" t="s">
        <v>72</v>
      </c>
      <c r="D14" s="12">
        <f>_xlfn.MAXIFS('2-DATASET'!AB:AB,'2-DATASET'!G:G,'1-Players'!A14,'2-DATASET'!A:A,$O$2)</f>
        <v>0</v>
      </c>
      <c r="E14" s="12">
        <f>_xlfn.MINIFS('2-DATASET'!AB:AB,'2-DATASET'!G:G,'1-Players'!A14,'2-DATASET'!A:A,$O$2)</f>
        <v>0</v>
      </c>
      <c r="F14" s="12">
        <f>_xlfn.MAXIFS('2-DATASET'!AC:AC,'2-DATASET'!G:G,'1-Players'!A14)</f>
        <v>3.6342592592592594E-3</v>
      </c>
      <c r="G14" s="12">
        <f>_xlfn.MINIFS('2-DATASET'!AC:AC,'2-DATASET'!G:G,'1-Players'!A14)</f>
        <v>3.6342592592592594E-3</v>
      </c>
      <c r="H14" s="3" t="b">
        <f>IF(D14=0,FALSE,TRUE)</f>
        <v>0</v>
      </c>
      <c r="I14" s="3" t="b">
        <f t="shared" si="1"/>
        <v>0</v>
      </c>
      <c r="J14" s="12">
        <f t="shared" si="3"/>
        <v>0</v>
      </c>
      <c r="K14" s="12">
        <f>SUMIFS('2-DATASET'!AD:AD,'2-DATASET'!G:G,'3-Mins_Played_1Q'!A14,'2-DATASET'!A:A,$O$2)</f>
        <v>0</v>
      </c>
      <c r="L14" s="12">
        <f t="shared" si="2"/>
        <v>0</v>
      </c>
    </row>
    <row r="15" spans="1:16" x14ac:dyDescent="0.35">
      <c r="A15" s="22" t="s">
        <v>18</v>
      </c>
      <c r="B15" s="22" t="s">
        <v>19</v>
      </c>
      <c r="C15" s="22" t="s">
        <v>71</v>
      </c>
      <c r="D15" s="32">
        <f>_xlfn.MAXIFS('2-DATASET'!AB:AB,'2-DATASET'!G:G,'1-Players'!A15,'2-DATASET'!A:A,$O$2)</f>
        <v>6.9444444444444441E-3</v>
      </c>
      <c r="E15" s="32">
        <f>_xlfn.MINIFS('2-DATASET'!AB:AB,'2-DATASET'!G:G,'1-Players'!A15,'2-DATASET'!A:A,$O$2)</f>
        <v>6.9444444444444441E-3</v>
      </c>
      <c r="F15" s="32">
        <f>_xlfn.MAXIFS('2-DATASET'!AC:AC,'2-DATASET'!G:G,'1-Players'!A15)</f>
        <v>0</v>
      </c>
      <c r="G15" s="32">
        <f>_xlfn.MINIFS('2-DATASET'!AC:AC,'2-DATASET'!G:G,'1-Players'!A15)</f>
        <v>0</v>
      </c>
      <c r="H15" s="22" t="b">
        <f t="shared" si="0"/>
        <v>1</v>
      </c>
      <c r="I15" s="22" t="b">
        <f t="shared" si="1"/>
        <v>1</v>
      </c>
      <c r="J15" s="32">
        <f t="shared" si="3"/>
        <v>6.9444444444444441E-3</v>
      </c>
      <c r="K15" s="32">
        <f>SUMIFS('2-DATASET'!AD:AD,'2-DATASET'!G:G,'3-Mins_Played_1Q'!A15,'2-DATASET'!A:A,$O$2)</f>
        <v>0</v>
      </c>
      <c r="L15" s="32">
        <f t="shared" si="2"/>
        <v>6.9444444444444441E-3</v>
      </c>
    </row>
    <row r="16" spans="1:16" x14ac:dyDescent="0.35">
      <c r="A16" s="3" t="s">
        <v>74</v>
      </c>
      <c r="B16" s="3" t="s">
        <v>75</v>
      </c>
      <c r="C16" s="3" t="s">
        <v>72</v>
      </c>
      <c r="D16" s="12">
        <f>_xlfn.MAXIFS('2-DATASET'!AB:AB,'2-DATASET'!G:G,'1-Players'!A16,'2-DATASET'!A:A,$O$2)</f>
        <v>0</v>
      </c>
      <c r="E16" s="12">
        <f>_xlfn.MINIFS('2-DATASET'!AB:AB,'2-DATASET'!G:G,'1-Players'!A16,'2-DATASET'!A:A,$O$2)</f>
        <v>0</v>
      </c>
      <c r="F16" s="12">
        <f>_xlfn.MAXIFS('2-DATASET'!AC:AC,'2-DATASET'!G:G,'1-Players'!A16)</f>
        <v>3.9930555555555552E-3</v>
      </c>
      <c r="G16" s="12">
        <f>_xlfn.MINIFS('2-DATASET'!AC:AC,'2-DATASET'!G:G,'1-Players'!A16)</f>
        <v>3.9930555555555552E-3</v>
      </c>
      <c r="H16" s="3" t="b">
        <f t="shared" si="0"/>
        <v>0</v>
      </c>
      <c r="I16" s="3" t="b">
        <f t="shared" si="1"/>
        <v>0</v>
      </c>
      <c r="J16" s="12">
        <f t="shared" si="3"/>
        <v>0</v>
      </c>
      <c r="K16" s="12">
        <f>SUMIFS('2-DATASET'!AD:AD,'2-DATASET'!G:G,'3-Mins_Played_1Q'!A16,'2-DATASET'!A:A,$O$2)</f>
        <v>0</v>
      </c>
      <c r="L16" s="12">
        <f t="shared" si="2"/>
        <v>0</v>
      </c>
    </row>
    <row r="17" spans="1:14" x14ac:dyDescent="0.35">
      <c r="A17" s="3" t="s">
        <v>20</v>
      </c>
      <c r="B17" s="3" t="s">
        <v>21</v>
      </c>
      <c r="C17" s="3" t="s">
        <v>72</v>
      </c>
      <c r="D17" s="12">
        <f>_xlfn.MAXIFS('2-DATASET'!AB:AB,'2-DATASET'!G:G,'1-Players'!A17,'2-DATASET'!A:A,$O$2)</f>
        <v>0</v>
      </c>
      <c r="E17" s="12">
        <f>_xlfn.MINIFS('2-DATASET'!AB:AB,'2-DATASET'!G:G,'1-Players'!A17,'2-DATASET'!A:A,$O$2)</f>
        <v>0</v>
      </c>
      <c r="F17" s="12">
        <f>_xlfn.MAXIFS('2-DATASET'!AC:AC,'2-DATASET'!G:G,'1-Players'!A17)</f>
        <v>3.9930555555555552E-3</v>
      </c>
      <c r="G17" s="12">
        <f>_xlfn.MINIFS('2-DATASET'!AC:AC,'2-DATASET'!G:G,'1-Players'!A17)</f>
        <v>3.9930555555555552E-3</v>
      </c>
      <c r="H17" s="3" t="b">
        <f t="shared" si="0"/>
        <v>0</v>
      </c>
      <c r="I17" s="3" t="b">
        <f t="shared" si="1"/>
        <v>0</v>
      </c>
      <c r="J17" s="12">
        <f t="shared" si="3"/>
        <v>0</v>
      </c>
      <c r="K17" s="12">
        <f>SUMIFS('2-DATASET'!AD:AD,'2-DATASET'!G:G,'3-Mins_Played_1Q'!A17,'2-DATASET'!A:A,$O$2)</f>
        <v>0</v>
      </c>
      <c r="L17" s="12">
        <f t="shared" si="2"/>
        <v>0</v>
      </c>
    </row>
    <row r="18" spans="1:14" x14ac:dyDescent="0.35">
      <c r="A18" s="22" t="s">
        <v>22</v>
      </c>
      <c r="B18" s="22" t="s">
        <v>23</v>
      </c>
      <c r="C18" s="22" t="s">
        <v>71</v>
      </c>
      <c r="D18" s="32">
        <f>_xlfn.MAXIFS('2-DATASET'!AB:AB,'2-DATASET'!G:G,'1-Players'!A18,'2-DATASET'!A:A,$O$2)</f>
        <v>6.9444444444444441E-3</v>
      </c>
      <c r="E18" s="32">
        <f>_xlfn.MINIFS('2-DATASET'!AB:AB,'2-DATASET'!G:G,'1-Players'!A18,'2-DATASET'!A:A,$O$2)</f>
        <v>6.9444444444444441E-3</v>
      </c>
      <c r="F18" s="32">
        <f>_xlfn.MAXIFS('2-DATASET'!AC:AC,'2-DATASET'!G:G,'1-Players'!A18)</f>
        <v>0</v>
      </c>
      <c r="G18" s="32">
        <f>_xlfn.MINIFS('2-DATASET'!AC:AC,'2-DATASET'!G:G,'1-Players'!A18)</f>
        <v>0</v>
      </c>
      <c r="H18" s="22" t="b">
        <f t="shared" si="0"/>
        <v>1</v>
      </c>
      <c r="I18" s="22" t="b">
        <f t="shared" si="1"/>
        <v>1</v>
      </c>
      <c r="J18" s="32">
        <f t="shared" si="3"/>
        <v>6.9444444444444441E-3</v>
      </c>
      <c r="K18" s="32">
        <f>SUMIFS('2-DATASET'!AD:AD,'2-DATASET'!G:G,'3-Mins_Played_1Q'!A18,'2-DATASET'!A:A,$O$2)</f>
        <v>0</v>
      </c>
      <c r="L18" s="32">
        <f t="shared" si="2"/>
        <v>6.9444444444444441E-3</v>
      </c>
    </row>
    <row r="19" spans="1:14" x14ac:dyDescent="0.35">
      <c r="A19" s="3" t="s">
        <v>24</v>
      </c>
      <c r="B19" s="3" t="s">
        <v>76</v>
      </c>
      <c r="C19" s="3" t="s">
        <v>71</v>
      </c>
      <c r="D19" s="12">
        <f>_xlfn.MAXIFS('2-DATASET'!AB:AB,'2-DATASET'!G:G,'1-Players'!A19,'2-DATASET'!A:A,$O$2)</f>
        <v>0</v>
      </c>
      <c r="E19" s="12">
        <f>_xlfn.MINIFS('2-DATASET'!AB:AB,'2-DATASET'!G:G,'1-Players'!A19,'2-DATASET'!A:A,$O$2)</f>
        <v>0</v>
      </c>
      <c r="F19" s="12">
        <f>_xlfn.MAXIFS('2-DATASET'!AC:AC,'2-DATASET'!G:G,'1-Players'!A19)</f>
        <v>1.6087962962962963E-3</v>
      </c>
      <c r="G19" s="12">
        <f>_xlfn.MINIFS('2-DATASET'!AC:AC,'2-DATASET'!G:G,'1-Players'!A19)</f>
        <v>1.6087962962962963E-3</v>
      </c>
      <c r="H19" s="3" t="b">
        <f t="shared" si="0"/>
        <v>0</v>
      </c>
      <c r="I19" s="3" t="b">
        <f t="shared" si="1"/>
        <v>0</v>
      </c>
      <c r="J19" s="12">
        <f t="shared" si="3"/>
        <v>0</v>
      </c>
      <c r="K19" s="12">
        <f>SUMIFS('2-DATASET'!AD:AD,'2-DATASET'!G:G,'3-Mins_Played_1Q'!A19,'2-DATASET'!A:A,$O$2)</f>
        <v>0</v>
      </c>
      <c r="L19" s="12">
        <f t="shared" si="2"/>
        <v>0</v>
      </c>
    </row>
    <row r="20" spans="1:14" x14ac:dyDescent="0.35">
      <c r="A20" s="3" t="s">
        <v>45</v>
      </c>
      <c r="B20" s="3" t="s">
        <v>77</v>
      </c>
      <c r="C20" s="3" t="s">
        <v>71</v>
      </c>
      <c r="D20" s="12">
        <f>_xlfn.MAXIFS('2-DATASET'!AB:AB,'2-DATASET'!G:G,'1-Players'!A20,'2-DATASET'!A:A,$O$2)</f>
        <v>0</v>
      </c>
      <c r="E20" s="12">
        <f>_xlfn.MINIFS('2-DATASET'!AB:AB,'2-DATASET'!G:G,'1-Players'!A20,'2-DATASET'!A:A,$O$2)</f>
        <v>0</v>
      </c>
      <c r="F20" s="12">
        <f>_xlfn.MAXIFS('2-DATASET'!AC:AC,'2-DATASET'!G:G,'1-Players'!A20)</f>
        <v>1.5509259259259259E-3</v>
      </c>
      <c r="G20" s="12">
        <f>_xlfn.MINIFS('2-DATASET'!AC:AC,'2-DATASET'!G:G,'1-Players'!A20)</f>
        <v>1.5509259259259259E-3</v>
      </c>
      <c r="H20" s="3" t="b">
        <f t="shared" si="0"/>
        <v>0</v>
      </c>
      <c r="I20" s="3" t="b">
        <f t="shared" si="1"/>
        <v>0</v>
      </c>
      <c r="J20" s="12">
        <f t="shared" si="3"/>
        <v>0</v>
      </c>
      <c r="K20" s="12">
        <f>SUMIFS('2-DATASET'!AD:AD,'2-DATASET'!G:G,'3-Mins_Played_1Q'!A20,'2-DATASET'!A:A,$O$2)</f>
        <v>0</v>
      </c>
      <c r="L20" s="12">
        <f t="shared" si="2"/>
        <v>0</v>
      </c>
    </row>
    <row r="21" spans="1:14" x14ac:dyDescent="0.35">
      <c r="A21" s="3" t="s">
        <v>25</v>
      </c>
      <c r="B21" s="3" t="s">
        <v>26</v>
      </c>
      <c r="C21" s="3" t="s">
        <v>72</v>
      </c>
      <c r="D21" s="12">
        <f>_xlfn.MAXIFS('2-DATASET'!AB:AB,'2-DATASET'!G:G,'1-Players'!A21,'2-DATASET'!A:A,$O$2)</f>
        <v>0</v>
      </c>
      <c r="E21" s="12">
        <f>_xlfn.MINIFS('2-DATASET'!AB:AB,'2-DATASET'!G:G,'1-Players'!A21,'2-DATASET'!A:A,$O$2)</f>
        <v>0</v>
      </c>
      <c r="F21" s="12">
        <f>_xlfn.MAXIFS('2-DATASET'!AC:AC,'2-DATASET'!G:G,'1-Players'!A21)</f>
        <v>4.6990740740740743E-3</v>
      </c>
      <c r="G21" s="12">
        <f>_xlfn.MINIFS('2-DATASET'!AC:AC,'2-DATASET'!G:G,'1-Players'!A21)</f>
        <v>4.6990740740740743E-3</v>
      </c>
      <c r="H21" s="3" t="b">
        <f t="shared" si="0"/>
        <v>0</v>
      </c>
      <c r="I21" s="3" t="b">
        <f t="shared" si="1"/>
        <v>0</v>
      </c>
      <c r="J21" s="12">
        <f t="shared" si="3"/>
        <v>0</v>
      </c>
      <c r="K21" s="12">
        <f>SUMIFS('2-DATASET'!AD:AD,'2-DATASET'!G:G,'3-Mins_Played_1Q'!A21,'2-DATASET'!A:A,$O$2)</f>
        <v>0</v>
      </c>
      <c r="L21" s="12">
        <f t="shared" si="2"/>
        <v>0</v>
      </c>
    </row>
    <row r="22" spans="1:14" x14ac:dyDescent="0.35">
      <c r="A22" s="3" t="s">
        <v>38</v>
      </c>
      <c r="B22" s="3" t="s">
        <v>37</v>
      </c>
      <c r="C22" s="3" t="s">
        <v>72</v>
      </c>
      <c r="D22" s="12">
        <f>_xlfn.MAXIFS('2-DATASET'!AB:AB,'2-DATASET'!G:G,'1-Players'!A22,'2-DATASET'!A:A,$O$2)</f>
        <v>0</v>
      </c>
      <c r="E22" s="12">
        <f>_xlfn.MINIFS('2-DATASET'!AB:AB,'2-DATASET'!G:G,'1-Players'!A22,'2-DATASET'!A:A,$O$2)</f>
        <v>0</v>
      </c>
      <c r="F22" s="12">
        <f>_xlfn.MAXIFS('2-DATASET'!AC:AC,'2-DATASET'!G:G,'1-Players'!A22)</f>
        <v>3.9930555555555552E-3</v>
      </c>
      <c r="G22" s="12">
        <f>_xlfn.MINIFS('2-DATASET'!AC:AC,'2-DATASET'!G:G,'1-Players'!A22)</f>
        <v>3.9930555555555552E-3</v>
      </c>
      <c r="H22" s="3" t="b">
        <f t="shared" si="0"/>
        <v>0</v>
      </c>
      <c r="I22" s="3" t="b">
        <f t="shared" si="1"/>
        <v>0</v>
      </c>
      <c r="J22" s="12">
        <f t="shared" si="3"/>
        <v>0</v>
      </c>
      <c r="K22" s="12">
        <f>SUMIFS('2-DATASET'!AD:AD,'2-DATASET'!G:G,'3-Mins_Played_1Q'!A22,'2-DATASET'!A:A,$O$2)</f>
        <v>0</v>
      </c>
      <c r="L22" s="12">
        <f t="shared" si="2"/>
        <v>0</v>
      </c>
    </row>
    <row r="23" spans="1:14" x14ac:dyDescent="0.35">
      <c r="A23" s="22" t="s">
        <v>39</v>
      </c>
      <c r="B23" s="22" t="s">
        <v>40</v>
      </c>
      <c r="C23" s="22" t="s">
        <v>71</v>
      </c>
      <c r="D23" s="32">
        <f>_xlfn.MAXIFS('2-DATASET'!AB:AB,'2-DATASET'!G:G,'1-Players'!A23,'2-DATASET'!A:A,$O$2)</f>
        <v>6.9444444444444441E-3</v>
      </c>
      <c r="E23" s="32">
        <f>_xlfn.MINIFS('2-DATASET'!AB:AB,'2-DATASET'!G:G,'1-Players'!A23,'2-DATASET'!A:A,$O$2)</f>
        <v>6.9444444444444441E-3</v>
      </c>
      <c r="F23" s="32">
        <f>_xlfn.MAXIFS('2-DATASET'!AC:AC,'2-DATASET'!G:G,'1-Players'!A23)</f>
        <v>0</v>
      </c>
      <c r="G23" s="32">
        <f>_xlfn.MINIFS('2-DATASET'!AC:AC,'2-DATASET'!G:G,'1-Players'!A23)</f>
        <v>0</v>
      </c>
      <c r="H23" s="22" t="b">
        <f t="shared" si="0"/>
        <v>1</v>
      </c>
      <c r="I23" s="22" t="b">
        <f t="shared" si="1"/>
        <v>1</v>
      </c>
      <c r="J23" s="32">
        <f t="shared" si="3"/>
        <v>6.9444444444444441E-3</v>
      </c>
      <c r="K23" s="32">
        <f>SUMIFS('2-DATASET'!AD:AD,'2-DATASET'!G:G,'3-Mins_Played_1Q'!A23,'2-DATASET'!A:A,$O$2)</f>
        <v>0</v>
      </c>
      <c r="L23" s="32">
        <f t="shared" si="2"/>
        <v>6.9444444444444441E-3</v>
      </c>
    </row>
    <row r="24" spans="1:14" x14ac:dyDescent="0.35">
      <c r="A24" s="22" t="s">
        <v>41</v>
      </c>
      <c r="B24" s="22" t="s">
        <v>42</v>
      </c>
      <c r="C24" s="22" t="s">
        <v>71</v>
      </c>
      <c r="D24" s="32">
        <f>_xlfn.MAXIFS('2-DATASET'!AB:AB,'2-DATASET'!G:G,'1-Players'!A24,'2-DATASET'!A:A,$O$2)</f>
        <v>6.9444444444444441E-3</v>
      </c>
      <c r="E24" s="32">
        <f>_xlfn.MINIFS('2-DATASET'!AB:AB,'2-DATASET'!G:G,'1-Players'!A24,'2-DATASET'!A:A,$O$2)</f>
        <v>6.9444444444444441E-3</v>
      </c>
      <c r="F24" s="32">
        <f>_xlfn.MAXIFS('2-DATASET'!AC:AC,'2-DATASET'!G:G,'1-Players'!A24)</f>
        <v>0</v>
      </c>
      <c r="G24" s="32">
        <f>_xlfn.MINIFS('2-DATASET'!AC:AC,'2-DATASET'!G:G,'1-Players'!A24)</f>
        <v>0</v>
      </c>
      <c r="H24" s="22" t="b">
        <f t="shared" si="0"/>
        <v>1</v>
      </c>
      <c r="I24" s="22" t="b">
        <f t="shared" si="1"/>
        <v>1</v>
      </c>
      <c r="J24" s="32">
        <f t="shared" si="3"/>
        <v>6.9444444444444441E-3</v>
      </c>
      <c r="K24" s="32">
        <f>SUMIFS('2-DATASET'!AD:AD,'2-DATASET'!G:G,'3-Mins_Played_1Q'!A24,'2-DATASET'!A:A,$O$2)</f>
        <v>0</v>
      </c>
      <c r="L24" s="32">
        <f t="shared" si="2"/>
        <v>6.9444444444444441E-3</v>
      </c>
      <c r="M24" s="4"/>
    </row>
    <row r="25" spans="1:14" x14ac:dyDescent="0.35">
      <c r="A25" s="22" t="s">
        <v>43</v>
      </c>
      <c r="B25" s="22" t="s">
        <v>44</v>
      </c>
      <c r="C25" s="22" t="s">
        <v>71</v>
      </c>
      <c r="D25" s="32">
        <f>_xlfn.MAXIFS('2-DATASET'!AB:AB,'2-DATASET'!G:G,'1-Players'!A25,'2-DATASET'!A:A,$O$2)</f>
        <v>6.9444444444444441E-3</v>
      </c>
      <c r="E25" s="32">
        <f>_xlfn.MINIFS('2-DATASET'!AB:AB,'2-DATASET'!G:G,'1-Players'!A25,'2-DATASET'!A:A,$O$2)</f>
        <v>6.9444444444444441E-3</v>
      </c>
      <c r="F25" s="32">
        <f>_xlfn.MAXIFS('2-DATASET'!AC:AC,'2-DATASET'!G:G,'1-Players'!A25)</f>
        <v>0</v>
      </c>
      <c r="G25" s="32">
        <f>_xlfn.MINIFS('2-DATASET'!AC:AC,'2-DATASET'!G:G,'1-Players'!A25)</f>
        <v>0</v>
      </c>
      <c r="H25" s="22" t="b">
        <f t="shared" si="0"/>
        <v>1</v>
      </c>
      <c r="I25" s="22" t="b">
        <f t="shared" si="1"/>
        <v>1</v>
      </c>
      <c r="J25" s="32">
        <f t="shared" si="3"/>
        <v>6.9444444444444441E-3</v>
      </c>
      <c r="K25" s="32">
        <f>SUMIFS('2-DATASET'!AD:AD,'2-DATASET'!G:G,'3-Mins_Played_1Q'!A25,'2-DATASET'!A:A,$O$2)</f>
        <v>0</v>
      </c>
      <c r="L25" s="32">
        <f t="shared" si="2"/>
        <v>6.9444444444444441E-3</v>
      </c>
      <c r="M25" s="4" t="s">
        <v>136</v>
      </c>
    </row>
    <row r="26" spans="1:14" x14ac:dyDescent="0.35">
      <c r="A26" s="13" t="s">
        <v>120</v>
      </c>
      <c r="B26" s="13" t="s">
        <v>123</v>
      </c>
      <c r="C26" s="4"/>
      <c r="M26" s="17">
        <f>SUM(L2:L13)</f>
        <v>3.4722222222222224E-2</v>
      </c>
      <c r="N26" s="13" t="s">
        <v>120</v>
      </c>
    </row>
    <row r="27" spans="1:14" x14ac:dyDescent="0.35">
      <c r="A27" s="14" t="s">
        <v>121</v>
      </c>
      <c r="B27" s="14" t="s">
        <v>124</v>
      </c>
      <c r="C27" s="4"/>
      <c r="M27" s="18">
        <f>SUM(L14:L25)</f>
        <v>3.4722222222222224E-2</v>
      </c>
      <c r="N27" s="14" t="s">
        <v>121</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9468B-CE52-4085-9B17-253822C46525}">
  <dimension ref="A1:AA32"/>
  <sheetViews>
    <sheetView zoomScale="47" workbookViewId="0">
      <selection activeCell="A6" sqref="A6:XFD6"/>
    </sheetView>
  </sheetViews>
  <sheetFormatPr baseColWidth="10" defaultRowHeight="14.5" x14ac:dyDescent="0.35"/>
  <cols>
    <col min="1" max="1" width="14.81640625" style="5" customWidth="1"/>
    <col min="2" max="2" width="20.81640625" style="5" customWidth="1"/>
    <col min="3" max="3" width="18.1796875" style="5" customWidth="1"/>
    <col min="4" max="4" width="21.54296875" style="5" bestFit="1" customWidth="1"/>
    <col min="5" max="16384" width="10.90625" style="5"/>
  </cols>
  <sheetData>
    <row r="1" spans="1:27" s="4" customFormat="1" x14ac:dyDescent="0.35">
      <c r="A1" s="35" t="s">
        <v>0</v>
      </c>
      <c r="B1" s="35" t="s">
        <v>3</v>
      </c>
      <c r="C1" s="35" t="s">
        <v>139</v>
      </c>
      <c r="D1" s="35" t="s">
        <v>140</v>
      </c>
      <c r="E1" s="35" t="s">
        <v>141</v>
      </c>
      <c r="F1" s="35" t="s">
        <v>142</v>
      </c>
      <c r="G1" s="35" t="s">
        <v>143</v>
      </c>
      <c r="H1" s="35" t="s">
        <v>144</v>
      </c>
      <c r="I1" s="35" t="s">
        <v>145</v>
      </c>
      <c r="J1" s="35" t="s">
        <v>146</v>
      </c>
      <c r="K1" s="35" t="s">
        <v>147</v>
      </c>
      <c r="L1" s="35" t="s">
        <v>148</v>
      </c>
      <c r="M1" s="35" t="s">
        <v>149</v>
      </c>
      <c r="N1" s="35" t="s">
        <v>150</v>
      </c>
      <c r="O1" s="35" t="s">
        <v>151</v>
      </c>
      <c r="P1" s="35" t="s">
        <v>152</v>
      </c>
      <c r="Q1" s="35" t="s">
        <v>153</v>
      </c>
      <c r="R1" s="35" t="s">
        <v>155</v>
      </c>
      <c r="S1" s="35" t="s">
        <v>154</v>
      </c>
      <c r="T1" s="35" t="s">
        <v>156</v>
      </c>
      <c r="U1" s="35" t="s">
        <v>157</v>
      </c>
      <c r="V1" s="35" t="s">
        <v>158</v>
      </c>
      <c r="W1" s="35" t="s">
        <v>159</v>
      </c>
      <c r="X1" s="35" t="s">
        <v>160</v>
      </c>
      <c r="Y1" s="35" t="s">
        <v>161</v>
      </c>
      <c r="AA1" s="41" t="s">
        <v>163</v>
      </c>
    </row>
    <row r="2" spans="1:27" x14ac:dyDescent="0.35">
      <c r="A2" s="2" t="s">
        <v>27</v>
      </c>
      <c r="B2" s="2" t="s">
        <v>28</v>
      </c>
      <c r="C2" s="11">
        <f>SUMIFS('2-DATASET'!AE:AE,'2-DATASET'!G:G,'4-BOXSCORE_1Q'!A2,'2-DATASET'!A:A,$AA$2)</f>
        <v>1.4004629629629627E-3</v>
      </c>
      <c r="D2" s="5">
        <f>SUMIFS('2-DATASET'!M:M,'2-DATASET'!G:G,'4-BOXSCORE_1Q'!A2,'2-DATASET'!A:A,$AA$2)</f>
        <v>0</v>
      </c>
      <c r="E2" s="5">
        <f>(SUMIFS('2-DATASET'!K:K,'2-DATASET'!K:K,2,'2-DATASET'!L:L,1,'2-DATASET'!G:G,'4-BOXSCORE_1Q'!A2,'2-DATASET'!A:A,$AA$2))/2</f>
        <v>0</v>
      </c>
      <c r="F2" s="5">
        <f>(SUMIFS('2-DATASET'!K:K,'2-DATASET'!K:K,2,'2-DATASET'!G:G,'4-BOXSCORE_1Q'!A2,'2-DATASET'!A:A,$AA$2))/2</f>
        <v>0</v>
      </c>
      <c r="G2" s="34">
        <f>IF(F2=0,0,E2/F2)</f>
        <v>0</v>
      </c>
      <c r="H2" s="5">
        <f>(SUMIFS('2-DATASET'!K:K,'2-DATASET'!K:K,3,'2-DATASET'!L:L,1,'2-DATASET'!G:G,'4-BOXSCORE_1Q'!A2,'2-DATASET'!A:A,$AA$2))/3</f>
        <v>0</v>
      </c>
      <c r="I2" s="5">
        <f>(SUMIFS('2-DATASET'!K:K,'2-DATASET'!K:K,3,'2-DATASET'!G:G,'4-BOXSCORE_1Q'!A2,'2-DATASET'!A:A,$AA$2))/3</f>
        <v>0</v>
      </c>
      <c r="J2" s="34">
        <f>IF(I2=0,0,H2/I2)</f>
        <v>0</v>
      </c>
      <c r="K2" s="5">
        <f>(SUMIFS('2-DATASET'!K:K,'2-DATASET'!K:K,1,'2-DATASET'!L:L,1,'2-DATASET'!G:G,'4-BOXSCORE_1Q'!A2,'2-DATASET'!A:A,$AA$2))/1</f>
        <v>0</v>
      </c>
      <c r="L2" s="5">
        <f>(SUMIFS('2-DATASET'!K:K,'2-DATASET'!K:K,1,'2-DATASET'!G:G,'4-BOXSCORE_1Q'!A2,'2-DATASET'!A:A,$AA$2))/1</f>
        <v>0</v>
      </c>
      <c r="M2" s="34">
        <f>IF(L2=0,0,K2/L2)</f>
        <v>0</v>
      </c>
      <c r="N2" s="5">
        <f>(SUMIFS('2-DATASET'!T:T,'2-DATASET'!G:G,'4-BOXSCORE_1Q'!A2,'2-DATASET'!A:A,$AA$2))</f>
        <v>1</v>
      </c>
      <c r="O2" s="5">
        <f>(SUMIFS('2-DATASET'!S:S,'2-DATASET'!G:G,'4-BOXSCORE_1Q'!A2,'2-DATASET'!A:A,$AA$2))</f>
        <v>0</v>
      </c>
      <c r="P2" s="5">
        <f>N2+O2</f>
        <v>1</v>
      </c>
      <c r="Q2" s="5">
        <f>(SUMIFS('2-DATASET'!U:U,'2-DATASET'!G:G,'4-BOXSCORE_1Q'!A2,'2-DATASET'!A:A,$AA$2))</f>
        <v>0</v>
      </c>
      <c r="R2" s="5">
        <f>(SUMIFS('2-DATASET'!V:V,'2-DATASET'!G:G,'4-BOXSCORE_1Q'!A2,'2-DATASET'!A:A,$AA$2))</f>
        <v>0</v>
      </c>
      <c r="S2" s="5">
        <f>(SUMIFS('2-DATASET'!W:W,'2-DATASET'!G:G,'4-BOXSCORE_1Q'!A2,'2-DATASET'!A:A,$AA$2))</f>
        <v>0</v>
      </c>
      <c r="T2" s="5">
        <f>(SUMIFS('2-DATASET'!X:X,'2-DATASET'!G:G,'4-BOXSCORE_1Q'!A2,'2-DATASET'!A:A,$AA$2))</f>
        <v>0</v>
      </c>
      <c r="U2" s="5">
        <f>(SUMIFS('2-DATASET'!Y:Y,'2-DATASET'!G:G,'4-BOXSCORE_1Q'!A2,'2-DATASET'!A:A,$AA$2))</f>
        <v>0</v>
      </c>
      <c r="V2" s="5">
        <f>(SUMIFS('2-DATASET'!K:K,'2-DATASET'!I:I,"Dunk",'2-DATASET'!G:G,'4-BOXSCORE_1Q'!A2,'2-DATASET'!A:A,$AA$2))/2</f>
        <v>0</v>
      </c>
      <c r="W2" s="5">
        <f>(SUMIFS('2-DATASET'!Z:Z,'2-DATASET'!G:G,'4-BOXSCORE_1Q'!A2,'2-DATASET'!A:A,$AA$2))</f>
        <v>2</v>
      </c>
      <c r="X2" s="5">
        <f>(SUMIFS('2-DATASET'!AA:AA,'2-DATASET'!G:G,'4-BOXSCORE_1Q'!A2,'2-DATASET'!A:A,$AA$2))</f>
        <v>0</v>
      </c>
      <c r="Y2" s="5">
        <f>D2+Q2+P2+S2+T2+X2-((F2-E2)+(I2-H2)+(L2-K2)+R2+U2+W2)</f>
        <v>-1</v>
      </c>
      <c r="AA2" s="5">
        <v>1</v>
      </c>
    </row>
    <row r="3" spans="1:27" x14ac:dyDescent="0.35">
      <c r="A3" s="2" t="s">
        <v>73</v>
      </c>
      <c r="B3" s="2" t="s">
        <v>6</v>
      </c>
      <c r="C3" s="11">
        <f>SUMIFS('2-DATASET'!AE:AE,'2-DATASET'!G:G,'4-BOXSCORE_1Q'!A3,'2-DATASET'!A:A,$AA$2)</f>
        <v>2.6388888888888842E-3</v>
      </c>
      <c r="D3" s="5">
        <f>SUMIFS('2-DATASET'!M:M,'2-DATASET'!G:G,'4-BOXSCORE_1Q'!A3,'2-DATASET'!A:A,$AA$2)</f>
        <v>5</v>
      </c>
      <c r="E3" s="5">
        <f>(SUMIFS('2-DATASET'!K:K,'2-DATASET'!K:K,2,'2-DATASET'!L:L,1,'2-DATASET'!G:G,'4-BOXSCORE_1Q'!A3,'2-DATASET'!A:A,$AA$2))/2</f>
        <v>0</v>
      </c>
      <c r="F3" s="5">
        <f>(SUMIFS('2-DATASET'!K:K,'2-DATASET'!K:K,2,'2-DATASET'!G:G,'4-BOXSCORE_1Q'!A3,'2-DATASET'!A:A,$AA$2))/2</f>
        <v>0</v>
      </c>
      <c r="G3" s="34">
        <f t="shared" ref="G3:G31" si="0">IF(F3=0,0,E3/F3)</f>
        <v>0</v>
      </c>
      <c r="H3" s="5">
        <f>(SUMIFS('2-DATASET'!K:K,'2-DATASET'!K:K,3,'2-DATASET'!L:L,1,'2-DATASET'!G:G,'4-BOXSCORE_1Q'!A3,'2-DATASET'!A:A,$AA$2))/3</f>
        <v>1</v>
      </c>
      <c r="I3" s="5">
        <f>(SUMIFS('2-DATASET'!K:K,'2-DATASET'!K:K,3,'2-DATASET'!G:G,'4-BOXSCORE_1Q'!A3,'2-DATASET'!A:A,$AA$2))/3</f>
        <v>2</v>
      </c>
      <c r="J3" s="34">
        <f t="shared" ref="J3:J31" si="1">IF(I3=0,0,H3/I3)</f>
        <v>0.5</v>
      </c>
      <c r="K3" s="5">
        <f>(SUMIFS('2-DATASET'!K:K,'2-DATASET'!K:K,1,'2-DATASET'!L:L,1,'2-DATASET'!G:G,'4-BOXSCORE_1Q'!A3,'2-DATASET'!A:A,$AA$2))/1</f>
        <v>2</v>
      </c>
      <c r="L3" s="5">
        <f>(SUMIFS('2-DATASET'!K:K,'2-DATASET'!K:K,1,'2-DATASET'!G:G,'4-BOXSCORE_1Q'!A3,'2-DATASET'!A:A,$AA$2))/1</f>
        <v>2</v>
      </c>
      <c r="M3" s="34">
        <f t="shared" ref="M3:M31" si="2">IF(L3=0,0,K3/L3)</f>
        <v>1</v>
      </c>
      <c r="N3" s="5">
        <f>(SUMIFS('2-DATASET'!T:T,'2-DATASET'!G:G,'4-BOXSCORE_1Q'!A3,'2-DATASET'!A:A,$AA$2))</f>
        <v>0</v>
      </c>
      <c r="O3" s="5">
        <f>(SUMIFS('2-DATASET'!S:S,'2-DATASET'!G:G,'4-BOXSCORE_1Q'!A3,'2-DATASET'!A:A,$AA$2))</f>
        <v>0</v>
      </c>
      <c r="P3" s="5">
        <f t="shared" ref="P3:P31" si="3">N3+O3</f>
        <v>0</v>
      </c>
      <c r="Q3" s="5">
        <f>(SUMIFS('2-DATASET'!U:U,'2-DATASET'!G:G,'4-BOXSCORE_1Q'!A3,'2-DATASET'!A:A,$AA$2))</f>
        <v>2</v>
      </c>
      <c r="R3" s="5">
        <f>(SUMIFS('2-DATASET'!V:V,'2-DATASET'!G:G,'4-BOXSCORE_1Q'!A3,'2-DATASET'!A:A,$AA$2))</f>
        <v>0</v>
      </c>
      <c r="S3" s="5">
        <f>(SUMIFS('2-DATASET'!W:W,'2-DATASET'!G:G,'4-BOXSCORE_1Q'!A3,'2-DATASET'!A:A,$AA$2))</f>
        <v>0</v>
      </c>
      <c r="T3" s="5">
        <f>(SUMIFS('2-DATASET'!X:X,'2-DATASET'!G:G,'4-BOXSCORE_1Q'!A3,'2-DATASET'!A:A,$AA$2))</f>
        <v>0</v>
      </c>
      <c r="U3" s="5">
        <f>(SUMIFS('2-DATASET'!Y:Y,'2-DATASET'!G:G,'4-BOXSCORE_1Q'!A3,'2-DATASET'!A:A,$AA$2))</f>
        <v>0</v>
      </c>
      <c r="V3" s="5">
        <f>(SUMIFS('2-DATASET'!K:K,'2-DATASET'!I:I,"Dunk",'2-DATASET'!G:G,'4-BOXSCORE_1Q'!A3,'2-DATASET'!A:A,$AA$2))/2</f>
        <v>0</v>
      </c>
      <c r="W3" s="5">
        <f>(SUMIFS('2-DATASET'!Z:Z,'2-DATASET'!G:G,'4-BOXSCORE_1Q'!A3,'2-DATASET'!A:A,$AA$2))</f>
        <v>2</v>
      </c>
      <c r="X3" s="5">
        <f>(SUMIFS('2-DATASET'!AA:AA,'2-DATASET'!G:G,'4-BOXSCORE_1Q'!A3,'2-DATASET'!A:A,$AA$2))</f>
        <v>1</v>
      </c>
      <c r="Y3" s="5">
        <f t="shared" ref="Y3:Y30" si="4">D3+Q3+P3+S3+T3+X3-((F3-E3)+(I3-H3)+(L3-K3)+R3+U3+W3)</f>
        <v>5</v>
      </c>
    </row>
    <row r="4" spans="1:27" x14ac:dyDescent="0.35">
      <c r="A4" s="2" t="s">
        <v>7</v>
      </c>
      <c r="B4" s="2" t="s">
        <v>8</v>
      </c>
      <c r="C4" s="11">
        <f>SUMIFS('2-DATASET'!AE:AE,'2-DATASET'!G:G,'4-BOXSCORE_1Q'!A4,'2-DATASET'!A:A,$AA$2)</f>
        <v>3.7615740740740695E-3</v>
      </c>
      <c r="D4" s="5">
        <f>SUMIFS('2-DATASET'!M:M,'2-DATASET'!G:G,'4-BOXSCORE_1Q'!A4,'2-DATASET'!A:A,$AA$2)</f>
        <v>5</v>
      </c>
      <c r="E4" s="5">
        <f>(SUMIFS('2-DATASET'!K:K,'2-DATASET'!K:K,2,'2-DATASET'!L:L,1,'2-DATASET'!G:G,'4-BOXSCORE_1Q'!A4,'2-DATASET'!A:A,$AA$2))/2</f>
        <v>1</v>
      </c>
      <c r="F4" s="5">
        <f>(SUMIFS('2-DATASET'!K:K,'2-DATASET'!K:K,2,'2-DATASET'!G:G,'4-BOXSCORE_1Q'!A4,'2-DATASET'!A:A,$AA$2))/2</f>
        <v>1</v>
      </c>
      <c r="G4" s="34">
        <f t="shared" si="0"/>
        <v>1</v>
      </c>
      <c r="H4" s="5">
        <f>(SUMIFS('2-DATASET'!K:K,'2-DATASET'!K:K,3,'2-DATASET'!L:L,1,'2-DATASET'!G:G,'4-BOXSCORE_1Q'!A4,'2-DATASET'!A:A,$AA$2))/3</f>
        <v>1</v>
      </c>
      <c r="I4" s="5">
        <f>(SUMIFS('2-DATASET'!K:K,'2-DATASET'!K:K,3,'2-DATASET'!G:G,'4-BOXSCORE_1Q'!A4,'2-DATASET'!A:A,$AA$2))/3</f>
        <v>1</v>
      </c>
      <c r="J4" s="34">
        <f t="shared" si="1"/>
        <v>1</v>
      </c>
      <c r="K4" s="5">
        <f>(SUMIFS('2-DATASET'!K:K,'2-DATASET'!K:K,1,'2-DATASET'!L:L,1,'2-DATASET'!G:G,'4-BOXSCORE_1Q'!A4,'2-DATASET'!A:A,$AA$2))/1</f>
        <v>0</v>
      </c>
      <c r="L4" s="5">
        <f>(SUMIFS('2-DATASET'!K:K,'2-DATASET'!K:K,1,'2-DATASET'!G:G,'4-BOXSCORE_1Q'!A4,'2-DATASET'!A:A,$AA$2))/1</f>
        <v>0</v>
      </c>
      <c r="M4" s="34">
        <f t="shared" si="2"/>
        <v>0</v>
      </c>
      <c r="N4" s="5">
        <f>(SUMIFS('2-DATASET'!T:T,'2-DATASET'!G:G,'4-BOXSCORE_1Q'!A4,'2-DATASET'!A:A,$AA$2))</f>
        <v>1</v>
      </c>
      <c r="O4" s="5">
        <f>(SUMIFS('2-DATASET'!S:S,'2-DATASET'!G:G,'4-BOXSCORE_1Q'!A4,'2-DATASET'!A:A,$AA$2))</f>
        <v>0</v>
      </c>
      <c r="P4" s="5">
        <f t="shared" si="3"/>
        <v>1</v>
      </c>
      <c r="Q4" s="5">
        <f>(SUMIFS('2-DATASET'!U:U,'2-DATASET'!G:G,'4-BOXSCORE_1Q'!A4,'2-DATASET'!A:A,$AA$2))</f>
        <v>0</v>
      </c>
      <c r="R4" s="5">
        <f>(SUMIFS('2-DATASET'!V:V,'2-DATASET'!G:G,'4-BOXSCORE_1Q'!A4,'2-DATASET'!A:A,$AA$2))</f>
        <v>0</v>
      </c>
      <c r="S4" s="5">
        <f>(SUMIFS('2-DATASET'!W:W,'2-DATASET'!G:G,'4-BOXSCORE_1Q'!A4,'2-DATASET'!A:A,$AA$2))</f>
        <v>0</v>
      </c>
      <c r="T4" s="5">
        <f>(SUMIFS('2-DATASET'!X:X,'2-DATASET'!G:G,'4-BOXSCORE_1Q'!A4,'2-DATASET'!A:A,$AA$2))</f>
        <v>0</v>
      </c>
      <c r="U4" s="5">
        <f>(SUMIFS('2-DATASET'!Y:Y,'2-DATASET'!G:G,'4-BOXSCORE_1Q'!A4,'2-DATASET'!A:A,$AA$2))</f>
        <v>0</v>
      </c>
      <c r="V4" s="5">
        <f>(SUMIFS('2-DATASET'!K:K,'2-DATASET'!I:I,"Dunk",'2-DATASET'!G:G,'4-BOXSCORE_1Q'!A4,'2-DATASET'!A:A,$AA$2))/2</f>
        <v>0</v>
      </c>
      <c r="W4" s="5">
        <f>(SUMIFS('2-DATASET'!Z:Z,'2-DATASET'!G:G,'4-BOXSCORE_1Q'!A4,'2-DATASET'!A:A,$AA$2))</f>
        <v>0</v>
      </c>
      <c r="X4" s="5">
        <f>(SUMIFS('2-DATASET'!AA:AA,'2-DATASET'!G:G,'4-BOXSCORE_1Q'!A4,'2-DATASET'!A:A,$AA$2))</f>
        <v>1</v>
      </c>
      <c r="Y4" s="5">
        <f t="shared" si="4"/>
        <v>7</v>
      </c>
    </row>
    <row r="5" spans="1:27" x14ac:dyDescent="0.35">
      <c r="A5" s="2" t="s">
        <v>9</v>
      </c>
      <c r="B5" s="2" t="s">
        <v>32</v>
      </c>
      <c r="C5" s="11">
        <f>SUMIFS('2-DATASET'!AE:AE,'2-DATASET'!G:G,'4-BOXSCORE_1Q'!A5,'2-DATASET'!A:A,$AA$2)</f>
        <v>3.1828703703703702E-3</v>
      </c>
      <c r="D5" s="5">
        <f>SUMIFS('2-DATASET'!M:M,'2-DATASET'!G:G,'4-BOXSCORE_1Q'!A5,'2-DATASET'!A:A,$AA$2)</f>
        <v>2</v>
      </c>
      <c r="E5" s="5">
        <f>(SUMIFS('2-DATASET'!K:K,'2-DATASET'!K:K,2,'2-DATASET'!L:L,1,'2-DATASET'!G:G,'4-BOXSCORE_1Q'!A5,'2-DATASET'!A:A,$AA$2))/2</f>
        <v>1</v>
      </c>
      <c r="F5" s="5">
        <f>(SUMIFS('2-DATASET'!K:K,'2-DATASET'!K:K,2,'2-DATASET'!G:G,'4-BOXSCORE_1Q'!A5,'2-DATASET'!A:A,$AA$2))/2</f>
        <v>2</v>
      </c>
      <c r="G5" s="34">
        <f t="shared" si="0"/>
        <v>0.5</v>
      </c>
      <c r="H5" s="5">
        <f>(SUMIFS('2-DATASET'!K:K,'2-DATASET'!K:K,3,'2-DATASET'!L:L,1,'2-DATASET'!G:G,'4-BOXSCORE_1Q'!A5,'2-DATASET'!A:A,$AA$2))/3</f>
        <v>0</v>
      </c>
      <c r="I5" s="5">
        <f>(SUMIFS('2-DATASET'!K:K,'2-DATASET'!K:K,3,'2-DATASET'!G:G,'4-BOXSCORE_1Q'!A5,'2-DATASET'!A:A,$AA$2))/3</f>
        <v>0</v>
      </c>
      <c r="J5" s="34">
        <f t="shared" si="1"/>
        <v>0</v>
      </c>
      <c r="K5" s="5">
        <f>(SUMIFS('2-DATASET'!K:K,'2-DATASET'!K:K,1,'2-DATASET'!L:L,1,'2-DATASET'!G:G,'4-BOXSCORE_1Q'!A5,'2-DATASET'!A:A,$AA$2))/1</f>
        <v>0</v>
      </c>
      <c r="L5" s="5">
        <f>(SUMIFS('2-DATASET'!K:K,'2-DATASET'!K:K,1,'2-DATASET'!G:G,'4-BOXSCORE_1Q'!A5,'2-DATASET'!A:A,$AA$2))/1</f>
        <v>0</v>
      </c>
      <c r="M5" s="34">
        <f t="shared" si="2"/>
        <v>0</v>
      </c>
      <c r="N5" s="5">
        <f>(SUMIFS('2-DATASET'!T:T,'2-DATASET'!G:G,'4-BOXSCORE_1Q'!A5,'2-DATASET'!A:A,$AA$2))</f>
        <v>0</v>
      </c>
      <c r="O5" s="5">
        <f>(SUMIFS('2-DATASET'!S:S,'2-DATASET'!G:G,'4-BOXSCORE_1Q'!A5,'2-DATASET'!A:A,$AA$2))</f>
        <v>0</v>
      </c>
      <c r="P5" s="5">
        <f t="shared" si="3"/>
        <v>0</v>
      </c>
      <c r="Q5" s="5">
        <f>(SUMIFS('2-DATASET'!U:U,'2-DATASET'!G:G,'4-BOXSCORE_1Q'!A5,'2-DATASET'!A:A,$AA$2))</f>
        <v>0</v>
      </c>
      <c r="R5" s="5">
        <f>(SUMIFS('2-DATASET'!V:V,'2-DATASET'!G:G,'4-BOXSCORE_1Q'!A5,'2-DATASET'!A:A,$AA$2))</f>
        <v>1</v>
      </c>
      <c r="S5" s="5">
        <f>(SUMIFS('2-DATASET'!W:W,'2-DATASET'!G:G,'4-BOXSCORE_1Q'!A5,'2-DATASET'!A:A,$AA$2))</f>
        <v>0</v>
      </c>
      <c r="T5" s="5">
        <f>(SUMIFS('2-DATASET'!X:X,'2-DATASET'!G:G,'4-BOXSCORE_1Q'!A5,'2-DATASET'!A:A,$AA$2))</f>
        <v>0</v>
      </c>
      <c r="U5" s="5">
        <f>(SUMIFS('2-DATASET'!Y:Y,'2-DATASET'!G:G,'4-BOXSCORE_1Q'!A5,'2-DATASET'!A:A,$AA$2))</f>
        <v>1</v>
      </c>
      <c r="V5" s="5">
        <f>(SUMIFS('2-DATASET'!K:K,'2-DATASET'!I:I,"Dunk",'2-DATASET'!G:G,'4-BOXSCORE_1Q'!A5,'2-DATASET'!A:A,$AA$2))/2</f>
        <v>0</v>
      </c>
      <c r="W5" s="5">
        <f>(SUMIFS('2-DATASET'!Z:Z,'2-DATASET'!G:G,'4-BOXSCORE_1Q'!A5,'2-DATASET'!A:A,$AA$2))</f>
        <v>0</v>
      </c>
      <c r="X5" s="5">
        <f>(SUMIFS('2-DATASET'!AA:AA,'2-DATASET'!G:G,'4-BOXSCORE_1Q'!A5,'2-DATASET'!A:A,$AA$2))</f>
        <v>0</v>
      </c>
      <c r="Y5" s="5">
        <f t="shared" si="4"/>
        <v>-1</v>
      </c>
    </row>
    <row r="6" spans="1:27" x14ac:dyDescent="0.35">
      <c r="A6" s="2" t="s">
        <v>11</v>
      </c>
      <c r="B6" s="2" t="s">
        <v>33</v>
      </c>
      <c r="C6" s="11">
        <f>SUMIFS('2-DATASET'!AE:AE,'2-DATASET'!G:G,'4-BOXSCORE_1Q'!A6,'2-DATASET'!A:A,$AA$2)</f>
        <v>4.837962962962958E-3</v>
      </c>
      <c r="D6" s="5">
        <f>SUMIFS('2-DATASET'!M:M,'2-DATASET'!G:G,'4-BOXSCORE_1Q'!A6,'2-DATASET'!A:A,$AA$2)</f>
        <v>0</v>
      </c>
      <c r="E6" s="5">
        <f>(SUMIFS('2-DATASET'!K:K,'2-DATASET'!K:K,2,'2-DATASET'!L:L,1,'2-DATASET'!G:G,'4-BOXSCORE_1Q'!A6,'2-DATASET'!A:A,$AA$2))/2</f>
        <v>0</v>
      </c>
      <c r="F6" s="5">
        <f>(SUMIFS('2-DATASET'!K:K,'2-DATASET'!K:K,2,'2-DATASET'!G:G,'4-BOXSCORE_1Q'!A6,'2-DATASET'!A:A,$AA$2))/2</f>
        <v>1</v>
      </c>
      <c r="G6" s="34">
        <f t="shared" si="0"/>
        <v>0</v>
      </c>
      <c r="H6" s="5">
        <f>(SUMIFS('2-DATASET'!K:K,'2-DATASET'!K:K,3,'2-DATASET'!L:L,1,'2-DATASET'!G:G,'4-BOXSCORE_1Q'!A6,'2-DATASET'!A:A,$AA$2))/3</f>
        <v>0</v>
      </c>
      <c r="I6" s="5">
        <f>(SUMIFS('2-DATASET'!K:K,'2-DATASET'!K:K,3,'2-DATASET'!G:G,'4-BOXSCORE_1Q'!A6,'2-DATASET'!A:A,$AA$2))/3</f>
        <v>1</v>
      </c>
      <c r="J6" s="34">
        <f t="shared" si="1"/>
        <v>0</v>
      </c>
      <c r="K6" s="5">
        <f>(SUMIFS('2-DATASET'!K:K,'2-DATASET'!K:K,1,'2-DATASET'!L:L,1,'2-DATASET'!G:G,'4-BOXSCORE_1Q'!A6,'2-DATASET'!A:A,$AA$2))/1</f>
        <v>0</v>
      </c>
      <c r="L6" s="5">
        <f>(SUMIFS('2-DATASET'!K:K,'2-DATASET'!K:K,1,'2-DATASET'!G:G,'4-BOXSCORE_1Q'!A6,'2-DATASET'!A:A,$AA$2))/1</f>
        <v>0</v>
      </c>
      <c r="M6" s="34">
        <f t="shared" si="2"/>
        <v>0</v>
      </c>
      <c r="N6" s="5">
        <f>(SUMIFS('2-DATASET'!T:T,'2-DATASET'!G:G,'4-BOXSCORE_1Q'!A6,'2-DATASET'!A:A,$AA$2))</f>
        <v>0</v>
      </c>
      <c r="O6" s="5">
        <f>(SUMIFS('2-DATASET'!S:S,'2-DATASET'!G:G,'4-BOXSCORE_1Q'!A6,'2-DATASET'!A:A,$AA$2))</f>
        <v>0</v>
      </c>
      <c r="P6" s="5">
        <f t="shared" si="3"/>
        <v>0</v>
      </c>
      <c r="Q6" s="5">
        <f>(SUMIFS('2-DATASET'!U:U,'2-DATASET'!G:G,'4-BOXSCORE_1Q'!A6,'2-DATASET'!A:A,$AA$2))</f>
        <v>0</v>
      </c>
      <c r="R6" s="5">
        <f>(SUMIFS('2-DATASET'!V:V,'2-DATASET'!G:G,'4-BOXSCORE_1Q'!A6,'2-DATASET'!A:A,$AA$2))</f>
        <v>0</v>
      </c>
      <c r="S6" s="5">
        <f>(SUMIFS('2-DATASET'!W:W,'2-DATASET'!G:G,'4-BOXSCORE_1Q'!A6,'2-DATASET'!A:A,$AA$2))</f>
        <v>0</v>
      </c>
      <c r="T6" s="5">
        <f>(SUMIFS('2-DATASET'!X:X,'2-DATASET'!G:G,'4-BOXSCORE_1Q'!A6,'2-DATASET'!A:A,$AA$2))</f>
        <v>0</v>
      </c>
      <c r="U6" s="5">
        <f>(SUMIFS('2-DATASET'!Y:Y,'2-DATASET'!G:G,'4-BOXSCORE_1Q'!A6,'2-DATASET'!A:A,$AA$2))</f>
        <v>1</v>
      </c>
      <c r="V6" s="5">
        <f>(SUMIFS('2-DATASET'!K:K,'2-DATASET'!I:I,"Dunk",'2-DATASET'!G:G,'4-BOXSCORE_1Q'!A6,'2-DATASET'!A:A,$AA$2))/2</f>
        <v>0</v>
      </c>
      <c r="W6" s="5">
        <f>(SUMIFS('2-DATASET'!Z:Z,'2-DATASET'!G:G,'4-BOXSCORE_1Q'!A6,'2-DATASET'!A:A,$AA$2))</f>
        <v>1</v>
      </c>
      <c r="X6" s="5">
        <f>(SUMIFS('2-DATASET'!AA:AA,'2-DATASET'!G:G,'4-BOXSCORE_1Q'!A6,'2-DATASET'!A:A,$AA$2))</f>
        <v>0</v>
      </c>
      <c r="Y6" s="5">
        <f t="shared" si="4"/>
        <v>-4</v>
      </c>
    </row>
    <row r="7" spans="1:27" x14ac:dyDescent="0.35">
      <c r="A7" s="2" t="s">
        <v>66</v>
      </c>
      <c r="B7" s="2" t="s">
        <v>14</v>
      </c>
      <c r="C7" s="11">
        <f>SUMIFS('2-DATASET'!AE:AE,'2-DATASET'!G:G,'4-BOXSCORE_1Q'!A7,'2-DATASET'!A:A,$AA$2)</f>
        <v>0</v>
      </c>
      <c r="D7" s="5">
        <f>SUMIFS('2-DATASET'!M:M,'2-DATASET'!G:G,'4-BOXSCORE_1Q'!A7,'2-DATASET'!A:A,$AA$2)</f>
        <v>0</v>
      </c>
      <c r="E7" s="5">
        <f>(SUMIFS('2-DATASET'!K:K,'2-DATASET'!K:K,2,'2-DATASET'!L:L,1,'2-DATASET'!G:G,'4-BOXSCORE_1Q'!A7,'2-DATASET'!A:A,$AA$2))/2</f>
        <v>0</v>
      </c>
      <c r="F7" s="5">
        <f>(SUMIFS('2-DATASET'!K:K,'2-DATASET'!K:K,2,'2-DATASET'!G:G,'4-BOXSCORE_1Q'!A7,'2-DATASET'!A:A,$AA$2))/2</f>
        <v>0</v>
      </c>
      <c r="G7" s="34">
        <f t="shared" si="0"/>
        <v>0</v>
      </c>
      <c r="H7" s="5">
        <f>(SUMIFS('2-DATASET'!K:K,'2-DATASET'!K:K,3,'2-DATASET'!L:L,1,'2-DATASET'!G:G,'4-BOXSCORE_1Q'!A7,'2-DATASET'!A:A,$AA$2))/3</f>
        <v>0</v>
      </c>
      <c r="I7" s="5">
        <f>(SUMIFS('2-DATASET'!K:K,'2-DATASET'!K:K,3,'2-DATASET'!G:G,'4-BOXSCORE_1Q'!A7,'2-DATASET'!A:A,$AA$2))/3</f>
        <v>0</v>
      </c>
      <c r="J7" s="34">
        <f t="shared" si="1"/>
        <v>0</v>
      </c>
      <c r="K7" s="5">
        <f>(SUMIFS('2-DATASET'!K:K,'2-DATASET'!K:K,1,'2-DATASET'!L:L,1,'2-DATASET'!G:G,'4-BOXSCORE_1Q'!A7,'2-DATASET'!A:A,$AA$2))/1</f>
        <v>0</v>
      </c>
      <c r="L7" s="5">
        <f>(SUMIFS('2-DATASET'!K:K,'2-DATASET'!K:K,1,'2-DATASET'!G:G,'4-BOXSCORE_1Q'!A7,'2-DATASET'!A:A,$AA$2))/1</f>
        <v>0</v>
      </c>
      <c r="M7" s="34">
        <f t="shared" si="2"/>
        <v>0</v>
      </c>
      <c r="N7" s="5">
        <f>(SUMIFS('2-DATASET'!T:T,'2-DATASET'!G:G,'4-BOXSCORE_1Q'!A7,'2-DATASET'!A:A,$AA$2))</f>
        <v>0</v>
      </c>
      <c r="O7" s="5">
        <f>(SUMIFS('2-DATASET'!S:S,'2-DATASET'!G:G,'4-BOXSCORE_1Q'!A7,'2-DATASET'!A:A,$AA$2))</f>
        <v>0</v>
      </c>
      <c r="P7" s="5">
        <f t="shared" si="3"/>
        <v>0</v>
      </c>
      <c r="Q7" s="5">
        <f>(SUMIFS('2-DATASET'!U:U,'2-DATASET'!G:G,'4-BOXSCORE_1Q'!A7,'2-DATASET'!A:A,$AA$2))</f>
        <v>0</v>
      </c>
      <c r="R7" s="5">
        <f>(SUMIFS('2-DATASET'!V:V,'2-DATASET'!G:G,'4-BOXSCORE_1Q'!A7,'2-DATASET'!A:A,$AA$2))</f>
        <v>0</v>
      </c>
      <c r="S7" s="5">
        <f>(SUMIFS('2-DATASET'!W:W,'2-DATASET'!G:G,'4-BOXSCORE_1Q'!A7,'2-DATASET'!A:A,$AA$2))</f>
        <v>0</v>
      </c>
      <c r="T7" s="5">
        <f>(SUMIFS('2-DATASET'!X:X,'2-DATASET'!G:G,'4-BOXSCORE_1Q'!A7,'2-DATASET'!A:A,$AA$2))</f>
        <v>0</v>
      </c>
      <c r="U7" s="5">
        <f>(SUMIFS('2-DATASET'!Y:Y,'2-DATASET'!G:G,'4-BOXSCORE_1Q'!A7,'2-DATASET'!A:A,$AA$2))</f>
        <v>0</v>
      </c>
      <c r="V7" s="5">
        <f>(SUMIFS('2-DATASET'!K:K,'2-DATASET'!I:I,"Dunk",'2-DATASET'!G:G,'4-BOXSCORE_1Q'!A7,'2-DATASET'!A:A,$AA$2))/2</f>
        <v>0</v>
      </c>
      <c r="W7" s="5">
        <f>(SUMIFS('2-DATASET'!Z:Z,'2-DATASET'!G:G,'4-BOXSCORE_1Q'!A7,'2-DATASET'!A:A,$AA$2))</f>
        <v>0</v>
      </c>
      <c r="X7" s="5">
        <f>(SUMIFS('2-DATASET'!AA:AA,'2-DATASET'!G:G,'4-BOXSCORE_1Q'!A7,'2-DATASET'!A:A,$AA$2))</f>
        <v>0</v>
      </c>
      <c r="Y7" s="5">
        <f t="shared" si="4"/>
        <v>0</v>
      </c>
    </row>
    <row r="8" spans="1:27" x14ac:dyDescent="0.35">
      <c r="A8" s="2" t="s">
        <v>70</v>
      </c>
      <c r="B8" s="2" t="s">
        <v>65</v>
      </c>
      <c r="C8" s="11">
        <f>SUMIFS('2-DATASET'!AE:AE,'2-DATASET'!G:G,'4-BOXSCORE_1Q'!A8,'2-DATASET'!A:A,$AA$2)</f>
        <v>3.1481481481481482E-3</v>
      </c>
      <c r="D8" s="5">
        <f>SUMIFS('2-DATASET'!M:M,'2-DATASET'!G:G,'4-BOXSCORE_1Q'!A8,'2-DATASET'!A:A,$AA$2)</f>
        <v>1</v>
      </c>
      <c r="E8" s="5">
        <f>(SUMIFS('2-DATASET'!K:K,'2-DATASET'!K:K,2,'2-DATASET'!L:L,1,'2-DATASET'!G:G,'4-BOXSCORE_1Q'!A8,'2-DATASET'!A:A,$AA$2))/2</f>
        <v>0</v>
      </c>
      <c r="F8" s="5">
        <f>(SUMIFS('2-DATASET'!K:K,'2-DATASET'!K:K,2,'2-DATASET'!G:G,'4-BOXSCORE_1Q'!A8,'2-DATASET'!A:A,$AA$2))/2</f>
        <v>0</v>
      </c>
      <c r="G8" s="34">
        <f t="shared" si="0"/>
        <v>0</v>
      </c>
      <c r="H8" s="5">
        <f>(SUMIFS('2-DATASET'!K:K,'2-DATASET'!K:K,3,'2-DATASET'!L:L,1,'2-DATASET'!G:G,'4-BOXSCORE_1Q'!A8,'2-DATASET'!A:A,$AA$2))/3</f>
        <v>0</v>
      </c>
      <c r="I8" s="5">
        <f>(SUMIFS('2-DATASET'!K:K,'2-DATASET'!K:K,3,'2-DATASET'!G:G,'4-BOXSCORE_1Q'!A8,'2-DATASET'!A:A,$AA$2))/3</f>
        <v>0</v>
      </c>
      <c r="J8" s="34">
        <f t="shared" si="1"/>
        <v>0</v>
      </c>
      <c r="K8" s="5">
        <f>(SUMIFS('2-DATASET'!K:K,'2-DATASET'!K:K,1,'2-DATASET'!L:L,1,'2-DATASET'!G:G,'4-BOXSCORE_1Q'!A8,'2-DATASET'!A:A,$AA$2))/1</f>
        <v>1</v>
      </c>
      <c r="L8" s="5">
        <f>(SUMIFS('2-DATASET'!K:K,'2-DATASET'!K:K,1,'2-DATASET'!G:G,'4-BOXSCORE_1Q'!A8,'2-DATASET'!A:A,$AA$2))/1</f>
        <v>2</v>
      </c>
      <c r="M8" s="34">
        <f t="shared" si="2"/>
        <v>0.5</v>
      </c>
      <c r="N8" s="5">
        <f>(SUMIFS('2-DATASET'!T:T,'2-DATASET'!G:G,'4-BOXSCORE_1Q'!A8,'2-DATASET'!A:A,$AA$2))</f>
        <v>1</v>
      </c>
      <c r="O8" s="5">
        <f>(SUMIFS('2-DATASET'!S:S,'2-DATASET'!G:G,'4-BOXSCORE_1Q'!A8,'2-DATASET'!A:A,$AA$2))</f>
        <v>1</v>
      </c>
      <c r="P8" s="5">
        <f t="shared" si="3"/>
        <v>2</v>
      </c>
      <c r="Q8" s="5">
        <f>(SUMIFS('2-DATASET'!U:U,'2-DATASET'!G:G,'4-BOXSCORE_1Q'!A8,'2-DATASET'!A:A,$AA$2))</f>
        <v>0</v>
      </c>
      <c r="R8" s="5">
        <f>(SUMIFS('2-DATASET'!V:V,'2-DATASET'!G:G,'4-BOXSCORE_1Q'!A8,'2-DATASET'!A:A,$AA$2))</f>
        <v>1</v>
      </c>
      <c r="S8" s="5">
        <f>(SUMIFS('2-DATASET'!W:W,'2-DATASET'!G:G,'4-BOXSCORE_1Q'!A8,'2-DATASET'!A:A,$AA$2))</f>
        <v>0</v>
      </c>
      <c r="T8" s="5">
        <f>(SUMIFS('2-DATASET'!X:X,'2-DATASET'!G:G,'4-BOXSCORE_1Q'!A8,'2-DATASET'!A:A,$AA$2))</f>
        <v>1</v>
      </c>
      <c r="U8" s="5">
        <f>(SUMIFS('2-DATASET'!Y:Y,'2-DATASET'!G:G,'4-BOXSCORE_1Q'!A8,'2-DATASET'!A:A,$AA$2))</f>
        <v>0</v>
      </c>
      <c r="V8" s="5">
        <f>(SUMIFS('2-DATASET'!K:K,'2-DATASET'!I:I,"Dunk",'2-DATASET'!G:G,'4-BOXSCORE_1Q'!A8,'2-DATASET'!A:A,$AA$2))/2</f>
        <v>0</v>
      </c>
      <c r="W8" s="5">
        <f>(SUMIFS('2-DATASET'!Z:Z,'2-DATASET'!G:G,'4-BOXSCORE_1Q'!A8,'2-DATASET'!A:A,$AA$2))</f>
        <v>1</v>
      </c>
      <c r="X8" s="5">
        <f>(SUMIFS('2-DATASET'!AA:AA,'2-DATASET'!G:G,'4-BOXSCORE_1Q'!A8,'2-DATASET'!A:A,$AA$2))</f>
        <v>2</v>
      </c>
      <c r="Y8" s="5">
        <f t="shared" si="4"/>
        <v>3</v>
      </c>
    </row>
    <row r="9" spans="1:27" x14ac:dyDescent="0.35">
      <c r="A9" s="2" t="s">
        <v>13</v>
      </c>
      <c r="B9" s="2" t="s">
        <v>12</v>
      </c>
      <c r="C9" s="11">
        <f>SUMIFS('2-DATASET'!AE:AE,'2-DATASET'!G:G,'4-BOXSCORE_1Q'!A9,'2-DATASET'!A:A,$AA$2)</f>
        <v>3.3101851851851803E-3</v>
      </c>
      <c r="D9" s="5">
        <f>SUMIFS('2-DATASET'!M:M,'2-DATASET'!G:G,'4-BOXSCORE_1Q'!A9,'2-DATASET'!A:A,$AA$2)</f>
        <v>4</v>
      </c>
      <c r="E9" s="5">
        <f>(SUMIFS('2-DATASET'!K:K,'2-DATASET'!K:K,2,'2-DATASET'!L:L,1,'2-DATASET'!G:G,'4-BOXSCORE_1Q'!A9,'2-DATASET'!A:A,$AA$2))/2</f>
        <v>2</v>
      </c>
      <c r="F9" s="5">
        <f>(SUMIFS('2-DATASET'!K:K,'2-DATASET'!K:K,2,'2-DATASET'!G:G,'4-BOXSCORE_1Q'!A9,'2-DATASET'!A:A,$AA$2))/2</f>
        <v>2</v>
      </c>
      <c r="G9" s="34">
        <f t="shared" si="0"/>
        <v>1</v>
      </c>
      <c r="H9" s="5">
        <f>(SUMIFS('2-DATASET'!K:K,'2-DATASET'!K:K,3,'2-DATASET'!L:L,1,'2-DATASET'!G:G,'4-BOXSCORE_1Q'!A9,'2-DATASET'!A:A,$AA$2))/3</f>
        <v>0</v>
      </c>
      <c r="I9" s="5">
        <f>(SUMIFS('2-DATASET'!K:K,'2-DATASET'!K:K,3,'2-DATASET'!G:G,'4-BOXSCORE_1Q'!A9,'2-DATASET'!A:A,$AA$2))/3</f>
        <v>0</v>
      </c>
      <c r="J9" s="34">
        <f t="shared" si="1"/>
        <v>0</v>
      </c>
      <c r="K9" s="5">
        <f>(SUMIFS('2-DATASET'!K:K,'2-DATASET'!K:K,1,'2-DATASET'!L:L,1,'2-DATASET'!G:G,'4-BOXSCORE_1Q'!A9,'2-DATASET'!A:A,$AA$2))/1</f>
        <v>0</v>
      </c>
      <c r="L9" s="5">
        <f>(SUMIFS('2-DATASET'!K:K,'2-DATASET'!K:K,1,'2-DATASET'!G:G,'4-BOXSCORE_1Q'!A9,'2-DATASET'!A:A,$AA$2))/1</f>
        <v>0</v>
      </c>
      <c r="M9" s="34">
        <f t="shared" si="2"/>
        <v>0</v>
      </c>
      <c r="N9" s="5">
        <f>(SUMIFS('2-DATASET'!T:T,'2-DATASET'!G:G,'4-BOXSCORE_1Q'!A9,'2-DATASET'!A:A,$AA$2))</f>
        <v>0</v>
      </c>
      <c r="O9" s="5">
        <f>(SUMIFS('2-DATASET'!S:S,'2-DATASET'!G:G,'4-BOXSCORE_1Q'!A9,'2-DATASET'!A:A,$AA$2))</f>
        <v>0</v>
      </c>
      <c r="P9" s="5">
        <f t="shared" si="3"/>
        <v>0</v>
      </c>
      <c r="Q9" s="5">
        <f>(SUMIFS('2-DATASET'!U:U,'2-DATASET'!G:G,'4-BOXSCORE_1Q'!A9,'2-DATASET'!A:A,$AA$2))</f>
        <v>1</v>
      </c>
      <c r="R9" s="5">
        <f>(SUMIFS('2-DATASET'!V:V,'2-DATASET'!G:G,'4-BOXSCORE_1Q'!A9,'2-DATASET'!A:A,$AA$2))</f>
        <v>0</v>
      </c>
      <c r="S9" s="5">
        <f>(SUMIFS('2-DATASET'!W:W,'2-DATASET'!G:G,'4-BOXSCORE_1Q'!A9,'2-DATASET'!A:A,$AA$2))</f>
        <v>0</v>
      </c>
      <c r="T9" s="5">
        <f>(SUMIFS('2-DATASET'!X:X,'2-DATASET'!G:G,'4-BOXSCORE_1Q'!A9,'2-DATASET'!A:A,$AA$2))</f>
        <v>0</v>
      </c>
      <c r="U9" s="5">
        <f>(SUMIFS('2-DATASET'!Y:Y,'2-DATASET'!G:G,'4-BOXSCORE_1Q'!A9,'2-DATASET'!A:A,$AA$2))</f>
        <v>0</v>
      </c>
      <c r="V9" s="5">
        <f>(SUMIFS('2-DATASET'!K:K,'2-DATASET'!I:I,"Dunk",'2-DATASET'!G:G,'4-BOXSCORE_1Q'!A9,'2-DATASET'!A:A,$AA$2))/2</f>
        <v>0</v>
      </c>
      <c r="W9" s="5">
        <f>(SUMIFS('2-DATASET'!Z:Z,'2-DATASET'!G:G,'4-BOXSCORE_1Q'!A9,'2-DATASET'!A:A,$AA$2))</f>
        <v>1</v>
      </c>
      <c r="X9" s="5">
        <f>(SUMIFS('2-DATASET'!AA:AA,'2-DATASET'!G:G,'4-BOXSCORE_1Q'!A9,'2-DATASET'!A:A,$AA$2))</f>
        <v>1</v>
      </c>
      <c r="Y9" s="5">
        <f t="shared" si="4"/>
        <v>5</v>
      </c>
    </row>
    <row r="10" spans="1:27" x14ac:dyDescent="0.35">
      <c r="A10" s="2" t="s">
        <v>35</v>
      </c>
      <c r="B10" s="2" t="s">
        <v>78</v>
      </c>
      <c r="C10" s="11">
        <f>SUMIFS('2-DATASET'!AE:AE,'2-DATASET'!G:G,'4-BOXSCORE_1Q'!A10,'2-DATASET'!A:A,$AA$2)</f>
        <v>4.5023148148148106E-3</v>
      </c>
      <c r="D10" s="5">
        <f>SUMIFS('2-DATASET'!M:M,'2-DATASET'!G:G,'4-BOXSCORE_1Q'!A10,'2-DATASET'!A:A,$AA$2)</f>
        <v>2</v>
      </c>
      <c r="E10" s="5">
        <f>(SUMIFS('2-DATASET'!K:K,'2-DATASET'!K:K,2,'2-DATASET'!L:L,1,'2-DATASET'!G:G,'4-BOXSCORE_1Q'!A10,'2-DATASET'!A:A,$AA$2))/2</f>
        <v>1</v>
      </c>
      <c r="F10" s="5">
        <f>(SUMIFS('2-DATASET'!K:K,'2-DATASET'!K:K,2,'2-DATASET'!G:G,'4-BOXSCORE_1Q'!A10,'2-DATASET'!A:A,$AA$2))/2</f>
        <v>2</v>
      </c>
      <c r="G10" s="34">
        <f t="shared" si="0"/>
        <v>0.5</v>
      </c>
      <c r="H10" s="5">
        <f>(SUMIFS('2-DATASET'!K:K,'2-DATASET'!K:K,3,'2-DATASET'!L:L,1,'2-DATASET'!G:G,'4-BOXSCORE_1Q'!A10,'2-DATASET'!A:A,$AA$2))/3</f>
        <v>0</v>
      </c>
      <c r="I10" s="5">
        <f>(SUMIFS('2-DATASET'!K:K,'2-DATASET'!K:K,3,'2-DATASET'!G:G,'4-BOXSCORE_1Q'!A10,'2-DATASET'!A:A,$AA$2))/3</f>
        <v>0</v>
      </c>
      <c r="J10" s="34">
        <f t="shared" si="1"/>
        <v>0</v>
      </c>
      <c r="K10" s="5">
        <f>(SUMIFS('2-DATASET'!K:K,'2-DATASET'!K:K,1,'2-DATASET'!L:L,1,'2-DATASET'!G:G,'4-BOXSCORE_1Q'!A10,'2-DATASET'!A:A,$AA$2))/1</f>
        <v>0</v>
      </c>
      <c r="L10" s="5">
        <f>(SUMIFS('2-DATASET'!K:K,'2-DATASET'!K:K,1,'2-DATASET'!G:G,'4-BOXSCORE_1Q'!A10,'2-DATASET'!A:A,$AA$2))/1</f>
        <v>0</v>
      </c>
      <c r="M10" s="34">
        <f t="shared" si="2"/>
        <v>0</v>
      </c>
      <c r="N10" s="5">
        <f>(SUMIFS('2-DATASET'!T:T,'2-DATASET'!G:G,'4-BOXSCORE_1Q'!A10,'2-DATASET'!A:A,$AA$2))</f>
        <v>0</v>
      </c>
      <c r="O10" s="5">
        <f>(SUMIFS('2-DATASET'!S:S,'2-DATASET'!G:G,'4-BOXSCORE_1Q'!A10,'2-DATASET'!A:A,$AA$2))</f>
        <v>0</v>
      </c>
      <c r="P10" s="5">
        <f t="shared" si="3"/>
        <v>0</v>
      </c>
      <c r="Q10" s="5">
        <f>(SUMIFS('2-DATASET'!U:U,'2-DATASET'!G:G,'4-BOXSCORE_1Q'!A10,'2-DATASET'!A:A,$AA$2))</f>
        <v>1</v>
      </c>
      <c r="R10" s="5">
        <f>(SUMIFS('2-DATASET'!V:V,'2-DATASET'!G:G,'4-BOXSCORE_1Q'!A10,'2-DATASET'!A:A,$AA$2))</f>
        <v>0</v>
      </c>
      <c r="S10" s="5">
        <f>(SUMIFS('2-DATASET'!W:W,'2-DATASET'!G:G,'4-BOXSCORE_1Q'!A10,'2-DATASET'!A:A,$AA$2))</f>
        <v>0</v>
      </c>
      <c r="T10" s="5">
        <f>(SUMIFS('2-DATASET'!X:X,'2-DATASET'!G:G,'4-BOXSCORE_1Q'!A10,'2-DATASET'!A:A,$AA$2))</f>
        <v>0</v>
      </c>
      <c r="U10" s="5">
        <f>(SUMIFS('2-DATASET'!Y:Y,'2-DATASET'!G:G,'4-BOXSCORE_1Q'!A10,'2-DATASET'!A:A,$AA$2))</f>
        <v>0</v>
      </c>
      <c r="V10" s="5">
        <f>(SUMIFS('2-DATASET'!K:K,'2-DATASET'!I:I,"Dunk",'2-DATASET'!G:G,'4-BOXSCORE_1Q'!A10,'2-DATASET'!A:A,$AA$2))/2</f>
        <v>0</v>
      </c>
      <c r="W10" s="5">
        <f>(SUMIFS('2-DATASET'!Z:Z,'2-DATASET'!G:G,'4-BOXSCORE_1Q'!A10,'2-DATASET'!A:A,$AA$2))</f>
        <v>0</v>
      </c>
      <c r="X10" s="5">
        <f>(SUMIFS('2-DATASET'!AA:AA,'2-DATASET'!G:G,'4-BOXSCORE_1Q'!A10,'2-DATASET'!A:A,$AA$2))</f>
        <v>0</v>
      </c>
      <c r="Y10" s="5">
        <f t="shared" si="4"/>
        <v>2</v>
      </c>
    </row>
    <row r="11" spans="1:27" x14ac:dyDescent="0.35">
      <c r="A11" s="2" t="s">
        <v>67</v>
      </c>
      <c r="B11" s="2" t="s">
        <v>79</v>
      </c>
      <c r="C11" s="11">
        <f>SUMIFS('2-DATASET'!AE:AE,'2-DATASET'!G:G,'4-BOXSCORE_1Q'!A11,'2-DATASET'!A:A,$AA$2)</f>
        <v>0</v>
      </c>
      <c r="D11" s="5">
        <f>SUMIFS('2-DATASET'!M:M,'2-DATASET'!G:G,'4-BOXSCORE_1Q'!A11,'2-DATASET'!A:A,$AA$2)</f>
        <v>0</v>
      </c>
      <c r="E11" s="5">
        <f>(SUMIFS('2-DATASET'!K:K,'2-DATASET'!K:K,2,'2-DATASET'!L:L,1,'2-DATASET'!G:G,'4-BOXSCORE_1Q'!A11,'2-DATASET'!A:A,$AA$2))/2</f>
        <v>0</v>
      </c>
      <c r="F11" s="5">
        <f>(SUMIFS('2-DATASET'!K:K,'2-DATASET'!K:K,2,'2-DATASET'!G:G,'4-BOXSCORE_1Q'!A11,'2-DATASET'!A:A,$AA$2))/2</f>
        <v>0</v>
      </c>
      <c r="G11" s="34">
        <f t="shared" si="0"/>
        <v>0</v>
      </c>
      <c r="H11" s="5">
        <f>(SUMIFS('2-DATASET'!K:K,'2-DATASET'!K:K,3,'2-DATASET'!L:L,1,'2-DATASET'!G:G,'4-BOXSCORE_1Q'!A11,'2-DATASET'!A:A,$AA$2))/3</f>
        <v>0</v>
      </c>
      <c r="I11" s="5">
        <f>(SUMIFS('2-DATASET'!K:K,'2-DATASET'!K:K,3,'2-DATASET'!G:G,'4-BOXSCORE_1Q'!A11,'2-DATASET'!A:A,$AA$2))/3</f>
        <v>0</v>
      </c>
      <c r="J11" s="34">
        <f t="shared" si="1"/>
        <v>0</v>
      </c>
      <c r="K11" s="5">
        <f>(SUMIFS('2-DATASET'!K:K,'2-DATASET'!K:K,1,'2-DATASET'!L:L,1,'2-DATASET'!G:G,'4-BOXSCORE_1Q'!A11,'2-DATASET'!A:A,$AA$2))/1</f>
        <v>0</v>
      </c>
      <c r="L11" s="5">
        <f>(SUMIFS('2-DATASET'!K:K,'2-DATASET'!K:K,1,'2-DATASET'!G:G,'4-BOXSCORE_1Q'!A11,'2-DATASET'!A:A,$AA$2))/1</f>
        <v>0</v>
      </c>
      <c r="M11" s="34">
        <f t="shared" si="2"/>
        <v>0</v>
      </c>
      <c r="N11" s="5">
        <f>(SUMIFS('2-DATASET'!T:T,'2-DATASET'!G:G,'4-BOXSCORE_1Q'!A11,'2-DATASET'!A:A,$AA$2))</f>
        <v>0</v>
      </c>
      <c r="O11" s="5">
        <f>(SUMIFS('2-DATASET'!S:S,'2-DATASET'!G:G,'4-BOXSCORE_1Q'!A11,'2-DATASET'!A:A,$AA$2))</f>
        <v>0</v>
      </c>
      <c r="P11" s="5">
        <f t="shared" si="3"/>
        <v>0</v>
      </c>
      <c r="Q11" s="5">
        <f>(SUMIFS('2-DATASET'!U:U,'2-DATASET'!G:G,'4-BOXSCORE_1Q'!A11,'2-DATASET'!A:A,$AA$2))</f>
        <v>0</v>
      </c>
      <c r="R11" s="5">
        <f>(SUMIFS('2-DATASET'!V:V,'2-DATASET'!G:G,'4-BOXSCORE_1Q'!A11,'2-DATASET'!A:A,$AA$2))</f>
        <v>0</v>
      </c>
      <c r="S11" s="5">
        <f>(SUMIFS('2-DATASET'!W:W,'2-DATASET'!G:G,'4-BOXSCORE_1Q'!A11,'2-DATASET'!A:A,$AA$2))</f>
        <v>0</v>
      </c>
      <c r="T11" s="5">
        <f>(SUMIFS('2-DATASET'!X:X,'2-DATASET'!G:G,'4-BOXSCORE_1Q'!A11,'2-DATASET'!A:A,$AA$2))</f>
        <v>0</v>
      </c>
      <c r="U11" s="5">
        <f>(SUMIFS('2-DATASET'!Y:Y,'2-DATASET'!G:G,'4-BOXSCORE_1Q'!A11,'2-DATASET'!A:A,$AA$2))</f>
        <v>0</v>
      </c>
      <c r="V11" s="5">
        <f>(SUMIFS('2-DATASET'!K:K,'2-DATASET'!I:I,"Dunk",'2-DATASET'!G:G,'4-BOXSCORE_1Q'!A11,'2-DATASET'!A:A,$AA$2))/2</f>
        <v>0</v>
      </c>
      <c r="W11" s="5">
        <f>(SUMIFS('2-DATASET'!Z:Z,'2-DATASET'!G:G,'4-BOXSCORE_1Q'!A11,'2-DATASET'!A:A,$AA$2))</f>
        <v>0</v>
      </c>
      <c r="X11" s="5">
        <f>(SUMIFS('2-DATASET'!AA:AA,'2-DATASET'!G:G,'4-BOXSCORE_1Q'!A11,'2-DATASET'!A:A,$AA$2))</f>
        <v>0</v>
      </c>
      <c r="Y11" s="5">
        <f t="shared" si="4"/>
        <v>0</v>
      </c>
    </row>
    <row r="12" spans="1:27" x14ac:dyDescent="0.35">
      <c r="A12" s="2" t="s">
        <v>68</v>
      </c>
      <c r="B12" s="2" t="s">
        <v>10</v>
      </c>
      <c r="C12" s="11">
        <f>SUMIFS('2-DATASET'!AE:AE,'2-DATASET'!G:G,'4-BOXSCORE_1Q'!A12,'2-DATASET'!A:A,$AA$2)</f>
        <v>4.3055555555555555E-3</v>
      </c>
      <c r="D12" s="5">
        <f>SUMIFS('2-DATASET'!M:M,'2-DATASET'!G:G,'4-BOXSCORE_1Q'!A12,'2-DATASET'!A:A,$AA$2)</f>
        <v>3</v>
      </c>
      <c r="E12" s="5">
        <f>(SUMIFS('2-DATASET'!K:K,'2-DATASET'!K:K,2,'2-DATASET'!L:L,1,'2-DATASET'!G:G,'4-BOXSCORE_1Q'!A12,'2-DATASET'!A:A,$AA$2))/2</f>
        <v>0</v>
      </c>
      <c r="F12" s="5">
        <f>(SUMIFS('2-DATASET'!K:K,'2-DATASET'!K:K,2,'2-DATASET'!G:G,'4-BOXSCORE_1Q'!A12,'2-DATASET'!A:A,$AA$2))/2</f>
        <v>1</v>
      </c>
      <c r="G12" s="34">
        <f t="shared" si="0"/>
        <v>0</v>
      </c>
      <c r="H12" s="5">
        <f>(SUMIFS('2-DATASET'!K:K,'2-DATASET'!K:K,3,'2-DATASET'!L:L,1,'2-DATASET'!G:G,'4-BOXSCORE_1Q'!A12,'2-DATASET'!A:A,$AA$2))/3</f>
        <v>1</v>
      </c>
      <c r="I12" s="5">
        <f>(SUMIFS('2-DATASET'!K:K,'2-DATASET'!K:K,3,'2-DATASET'!G:G,'4-BOXSCORE_1Q'!A12,'2-DATASET'!A:A,$AA$2))/3</f>
        <v>3</v>
      </c>
      <c r="J12" s="34">
        <f t="shared" si="1"/>
        <v>0.33333333333333331</v>
      </c>
      <c r="K12" s="5">
        <f>(SUMIFS('2-DATASET'!K:K,'2-DATASET'!K:K,1,'2-DATASET'!L:L,1,'2-DATASET'!G:G,'4-BOXSCORE_1Q'!A12,'2-DATASET'!A:A,$AA$2))/1</f>
        <v>0</v>
      </c>
      <c r="L12" s="5">
        <f>(SUMIFS('2-DATASET'!K:K,'2-DATASET'!K:K,1,'2-DATASET'!G:G,'4-BOXSCORE_1Q'!A12,'2-DATASET'!A:A,$AA$2))/1</f>
        <v>0</v>
      </c>
      <c r="M12" s="34">
        <f t="shared" si="2"/>
        <v>0</v>
      </c>
      <c r="N12" s="5">
        <f>(SUMIFS('2-DATASET'!T:T,'2-DATASET'!G:G,'4-BOXSCORE_1Q'!A12,'2-DATASET'!A:A,$AA$2))</f>
        <v>0</v>
      </c>
      <c r="O12" s="5">
        <f>(SUMIFS('2-DATASET'!S:S,'2-DATASET'!G:G,'4-BOXSCORE_1Q'!A12,'2-DATASET'!A:A,$AA$2))</f>
        <v>1</v>
      </c>
      <c r="P12" s="5">
        <f t="shared" si="3"/>
        <v>1</v>
      </c>
      <c r="Q12" s="5">
        <f>(SUMIFS('2-DATASET'!U:U,'2-DATASET'!G:G,'4-BOXSCORE_1Q'!A12,'2-DATASET'!A:A,$AA$2))</f>
        <v>0</v>
      </c>
      <c r="R12" s="5">
        <f>(SUMIFS('2-DATASET'!V:V,'2-DATASET'!G:G,'4-BOXSCORE_1Q'!A12,'2-DATASET'!A:A,$AA$2))</f>
        <v>1</v>
      </c>
      <c r="S12" s="5">
        <f>(SUMIFS('2-DATASET'!W:W,'2-DATASET'!G:G,'4-BOXSCORE_1Q'!A12,'2-DATASET'!A:A,$AA$2))</f>
        <v>0</v>
      </c>
      <c r="T12" s="5">
        <f>(SUMIFS('2-DATASET'!X:X,'2-DATASET'!G:G,'4-BOXSCORE_1Q'!A12,'2-DATASET'!A:A,$AA$2))</f>
        <v>0</v>
      </c>
      <c r="U12" s="5">
        <f>(SUMIFS('2-DATASET'!Y:Y,'2-DATASET'!G:G,'4-BOXSCORE_1Q'!A12,'2-DATASET'!A:A,$AA$2))</f>
        <v>0</v>
      </c>
      <c r="V12" s="5">
        <f>(SUMIFS('2-DATASET'!K:K,'2-DATASET'!I:I,"Dunk",'2-DATASET'!G:G,'4-BOXSCORE_1Q'!A12,'2-DATASET'!A:A,$AA$2))/2</f>
        <v>0</v>
      </c>
      <c r="W12" s="5">
        <f>(SUMIFS('2-DATASET'!Z:Z,'2-DATASET'!G:G,'4-BOXSCORE_1Q'!A12,'2-DATASET'!A:A,$AA$2))</f>
        <v>0</v>
      </c>
      <c r="X12" s="5">
        <f>(SUMIFS('2-DATASET'!AA:AA,'2-DATASET'!G:G,'4-BOXSCORE_1Q'!A12,'2-DATASET'!A:A,$AA$2))</f>
        <v>1</v>
      </c>
      <c r="Y12" s="5">
        <f t="shared" si="4"/>
        <v>1</v>
      </c>
    </row>
    <row r="13" spans="1:27" x14ac:dyDescent="0.35">
      <c r="A13" s="2" t="s">
        <v>69</v>
      </c>
      <c r="B13" s="2" t="s">
        <v>80</v>
      </c>
      <c r="C13" s="11">
        <f>SUMIFS('2-DATASET'!AE:AE,'2-DATASET'!G:G,'4-BOXSCORE_1Q'!A13,'2-DATASET'!A:A,$AA$2)</f>
        <v>3.6342592592592594E-3</v>
      </c>
      <c r="D13" s="5">
        <f>SUMIFS('2-DATASET'!M:M,'2-DATASET'!G:G,'4-BOXSCORE_1Q'!A13,'2-DATASET'!A:A,$AA$2)</f>
        <v>5</v>
      </c>
      <c r="E13" s="5">
        <f>(SUMIFS('2-DATASET'!K:K,'2-DATASET'!K:K,2,'2-DATASET'!L:L,1,'2-DATASET'!G:G,'4-BOXSCORE_1Q'!A13,'2-DATASET'!A:A,$AA$2))/2</f>
        <v>1</v>
      </c>
      <c r="F13" s="5">
        <f>(SUMIFS('2-DATASET'!K:K,'2-DATASET'!K:K,2,'2-DATASET'!G:G,'4-BOXSCORE_1Q'!A13,'2-DATASET'!A:A,$AA$2))/2</f>
        <v>1</v>
      </c>
      <c r="G13" s="34">
        <f t="shared" si="0"/>
        <v>1</v>
      </c>
      <c r="H13" s="5">
        <f>(SUMIFS('2-DATASET'!K:K,'2-DATASET'!K:K,3,'2-DATASET'!L:L,1,'2-DATASET'!G:G,'4-BOXSCORE_1Q'!A13,'2-DATASET'!A:A,$AA$2))/3</f>
        <v>0</v>
      </c>
      <c r="I13" s="5">
        <f>(SUMIFS('2-DATASET'!K:K,'2-DATASET'!K:K,3,'2-DATASET'!G:G,'4-BOXSCORE_1Q'!A13,'2-DATASET'!A:A,$AA$2))/3</f>
        <v>1</v>
      </c>
      <c r="J13" s="34">
        <f t="shared" si="1"/>
        <v>0</v>
      </c>
      <c r="K13" s="5">
        <f>(SUMIFS('2-DATASET'!K:K,'2-DATASET'!K:K,1,'2-DATASET'!L:L,1,'2-DATASET'!G:G,'4-BOXSCORE_1Q'!A13,'2-DATASET'!A:A,$AA$2))/1</f>
        <v>3</v>
      </c>
      <c r="L13" s="5">
        <f>(SUMIFS('2-DATASET'!K:K,'2-DATASET'!K:K,1,'2-DATASET'!G:G,'4-BOXSCORE_1Q'!A13,'2-DATASET'!A:A,$AA$2))/1</f>
        <v>3</v>
      </c>
      <c r="M13" s="34">
        <f t="shared" si="2"/>
        <v>1</v>
      </c>
      <c r="N13" s="5">
        <f>(SUMIFS('2-DATASET'!T:T,'2-DATASET'!G:G,'4-BOXSCORE_1Q'!A13,'2-DATASET'!A:A,$AA$2))</f>
        <v>0</v>
      </c>
      <c r="O13" s="5">
        <f>(SUMIFS('2-DATASET'!S:S,'2-DATASET'!G:G,'4-BOXSCORE_1Q'!A13,'2-DATASET'!A:A,$AA$2))</f>
        <v>2</v>
      </c>
      <c r="P13" s="5">
        <f t="shared" si="3"/>
        <v>2</v>
      </c>
      <c r="Q13" s="5">
        <f>(SUMIFS('2-DATASET'!U:U,'2-DATASET'!G:G,'4-BOXSCORE_1Q'!A13,'2-DATASET'!A:A,$AA$2))</f>
        <v>0</v>
      </c>
      <c r="R13" s="5">
        <f>(SUMIFS('2-DATASET'!V:V,'2-DATASET'!G:G,'4-BOXSCORE_1Q'!A13,'2-DATASET'!A:A,$AA$2))</f>
        <v>1</v>
      </c>
      <c r="S13" s="5">
        <f>(SUMIFS('2-DATASET'!W:W,'2-DATASET'!G:G,'4-BOXSCORE_1Q'!A13,'2-DATASET'!A:A,$AA$2))</f>
        <v>0</v>
      </c>
      <c r="T13" s="5">
        <f>(SUMIFS('2-DATASET'!X:X,'2-DATASET'!G:G,'4-BOXSCORE_1Q'!A13,'2-DATASET'!A:A,$AA$2))</f>
        <v>0</v>
      </c>
      <c r="U13" s="5">
        <f>(SUMIFS('2-DATASET'!Y:Y,'2-DATASET'!G:G,'4-BOXSCORE_1Q'!A13,'2-DATASET'!A:A,$AA$2))</f>
        <v>0</v>
      </c>
      <c r="V13" s="5">
        <f>(SUMIFS('2-DATASET'!K:K,'2-DATASET'!I:I,"Dunk",'2-DATASET'!G:G,'4-BOXSCORE_1Q'!A13,'2-DATASET'!A:A,$AA$2))/2</f>
        <v>0</v>
      </c>
      <c r="W13" s="5">
        <f>(SUMIFS('2-DATASET'!Z:Z,'2-DATASET'!G:G,'4-BOXSCORE_1Q'!A13,'2-DATASET'!A:A,$AA$2))</f>
        <v>1</v>
      </c>
      <c r="X13" s="5">
        <f>(SUMIFS('2-DATASET'!AA:AA,'2-DATASET'!G:G,'4-BOXSCORE_1Q'!A13,'2-DATASET'!A:A,$AA$2))</f>
        <v>1</v>
      </c>
      <c r="Y13" s="5">
        <f t="shared" si="4"/>
        <v>5</v>
      </c>
    </row>
    <row r="14" spans="1:27" x14ac:dyDescent="0.35">
      <c r="A14" s="24" t="s">
        <v>120</v>
      </c>
      <c r="B14" s="24" t="s">
        <v>123</v>
      </c>
      <c r="C14" s="37">
        <f>SUMIFS('2-DATASET'!AE:AE,'2-DATASET'!G:G,'4-BOXSCORE_1Q'!A14,'2-DATASET'!A:A,$AA$2)</f>
        <v>0</v>
      </c>
      <c r="D14" s="36">
        <f>SUMIFS('2-DATASET'!M:M,'2-DATASET'!G:G,'4-BOXSCORE_1Q'!A14,'2-DATASET'!A:A,$AA$2)</f>
        <v>0</v>
      </c>
      <c r="E14" s="36">
        <f>(SUMIFS('2-DATASET'!K:K,'2-DATASET'!K:K,2,'2-DATASET'!L:L,1,'2-DATASET'!G:G,'4-BOXSCORE_1Q'!A14,'2-DATASET'!A:A,$AA$2))/2</f>
        <v>0</v>
      </c>
      <c r="F14" s="36">
        <f>(SUMIFS('2-DATASET'!K:K,'2-DATASET'!K:K,2,'2-DATASET'!G:G,'4-BOXSCORE_1Q'!A14,'2-DATASET'!A:A,$AA$2))/2</f>
        <v>0</v>
      </c>
      <c r="G14" s="38">
        <f t="shared" si="0"/>
        <v>0</v>
      </c>
      <c r="H14" s="36">
        <f>(SUMIFS('2-DATASET'!K:K,'2-DATASET'!K:K,3,'2-DATASET'!L:L,1,'2-DATASET'!G:G,'4-BOXSCORE_1Q'!A14,'2-DATASET'!A:A,$AA$2))/3</f>
        <v>0</v>
      </c>
      <c r="I14" s="36">
        <f>(SUMIFS('2-DATASET'!K:K,'2-DATASET'!K:K,3,'2-DATASET'!G:G,'4-BOXSCORE_1Q'!A14,'2-DATASET'!A:A,$AA$2))/3</f>
        <v>0</v>
      </c>
      <c r="J14" s="38">
        <f t="shared" si="1"/>
        <v>0</v>
      </c>
      <c r="K14" s="36">
        <f>(SUMIFS('2-DATASET'!K:K,'2-DATASET'!K:K,1,'2-DATASET'!L:L,1,'2-DATASET'!G:G,'4-BOXSCORE_1Q'!A14,'2-DATASET'!A:A,$AA$2))/1</f>
        <v>0</v>
      </c>
      <c r="L14" s="36">
        <f>(SUMIFS('2-DATASET'!K:K,'2-DATASET'!K:K,1,'2-DATASET'!G:G,'4-BOXSCORE_1Q'!A14,'2-DATASET'!A:A,$AA$2))/1</f>
        <v>0</v>
      </c>
      <c r="M14" s="38">
        <f t="shared" si="2"/>
        <v>0</v>
      </c>
      <c r="N14" s="36">
        <f>(SUMIFS('2-DATASET'!T:T,'2-DATASET'!G:G,'4-BOXSCORE_1Q'!A14,'2-DATASET'!A:A,$AA$2))</f>
        <v>0</v>
      </c>
      <c r="O14" s="36">
        <f>(SUMIFS('2-DATASET'!S:S,'2-DATASET'!G:G,'4-BOXSCORE_1Q'!A14,'2-DATASET'!A:A,$AA$2))</f>
        <v>3</v>
      </c>
      <c r="P14" s="36">
        <f t="shared" si="3"/>
        <v>3</v>
      </c>
      <c r="Q14" s="36">
        <f>(SUMIFS('2-DATASET'!U:U,'2-DATASET'!G:G,'4-BOXSCORE_1Q'!A14,'2-DATASET'!A:A,$AA$2))</f>
        <v>0</v>
      </c>
      <c r="R14" s="36">
        <f>(SUMIFS('2-DATASET'!V:V,'2-DATASET'!G:G,'4-BOXSCORE_1Q'!A14,'2-DATASET'!A:A,$AA$2))</f>
        <v>1</v>
      </c>
      <c r="S14" s="36">
        <f>(SUMIFS('2-DATASET'!W:W,'2-DATASET'!G:G,'4-BOXSCORE_1Q'!A14,'2-DATASET'!A:A,$AA$2))</f>
        <v>0</v>
      </c>
      <c r="T14" s="36">
        <f>(SUMIFS('2-DATASET'!X:X,'2-DATASET'!G:G,'4-BOXSCORE_1Q'!A14,'2-DATASET'!A:A,$AA$2))</f>
        <v>0</v>
      </c>
      <c r="U14" s="36">
        <f>(SUMIFS('2-DATASET'!Y:Y,'2-DATASET'!G:G,'4-BOXSCORE_1Q'!A14,'2-DATASET'!A:A,$AA$2))</f>
        <v>0</v>
      </c>
      <c r="V14" s="36">
        <f>(SUMIFS('2-DATASET'!K:K,'2-DATASET'!I:I,"Dunk",'2-DATASET'!G:G,'4-BOXSCORE_1Q'!A14,'2-DATASET'!A:A,$AA$2))/2</f>
        <v>0</v>
      </c>
      <c r="W14" s="36">
        <f>(SUMIFS('2-DATASET'!Z:Z,'2-DATASET'!G:G,'4-BOXSCORE_1Q'!A14,'2-DATASET'!A:A,$AA$2))</f>
        <v>0</v>
      </c>
      <c r="X14" s="36">
        <f>(SUMIFS('2-DATASET'!AA:AA,'2-DATASET'!G:G,'4-BOXSCORE_1Q'!A14,'2-DATASET'!A:A,$AA$2))</f>
        <v>0</v>
      </c>
      <c r="Y14" s="36">
        <f t="shared" si="4"/>
        <v>2</v>
      </c>
    </row>
    <row r="15" spans="1:27" s="4" customFormat="1" x14ac:dyDescent="0.35">
      <c r="A15" s="24"/>
      <c r="B15" s="24" t="s">
        <v>162</v>
      </c>
      <c r="C15" s="25">
        <f>SUM(C2:C13)</f>
        <v>3.4722222222222196E-2</v>
      </c>
      <c r="D15" s="33">
        <f>SUM(D2:D14)</f>
        <v>27</v>
      </c>
      <c r="E15" s="33">
        <f>SUM(E2:E14)</f>
        <v>6</v>
      </c>
      <c r="F15" s="33">
        <f>SUM(F2:F14)</f>
        <v>10</v>
      </c>
      <c r="G15" s="39">
        <f t="shared" si="0"/>
        <v>0.6</v>
      </c>
      <c r="H15" s="33">
        <f>SUM(H2:H14)</f>
        <v>3</v>
      </c>
      <c r="I15" s="33">
        <f>SUM(I2:I14)</f>
        <v>8</v>
      </c>
      <c r="J15" s="39">
        <f t="shared" si="1"/>
        <v>0.375</v>
      </c>
      <c r="K15" s="33">
        <f>SUM(K2:K14)</f>
        <v>6</v>
      </c>
      <c r="L15" s="33">
        <f>SUM(L2:L14)</f>
        <v>7</v>
      </c>
      <c r="M15" s="39">
        <f t="shared" si="2"/>
        <v>0.8571428571428571</v>
      </c>
      <c r="N15" s="33">
        <f>SUM(N2:N14)</f>
        <v>3</v>
      </c>
      <c r="O15" s="33">
        <f>SUM(O2:O14)</f>
        <v>7</v>
      </c>
      <c r="P15" s="33">
        <f t="shared" si="3"/>
        <v>10</v>
      </c>
      <c r="Q15" s="33">
        <f t="shared" ref="Q15:X15" si="5">SUM(Q2:Q14)</f>
        <v>4</v>
      </c>
      <c r="R15" s="33">
        <f t="shared" si="5"/>
        <v>5</v>
      </c>
      <c r="S15" s="33">
        <f t="shared" si="5"/>
        <v>0</v>
      </c>
      <c r="T15" s="33">
        <f t="shared" si="5"/>
        <v>1</v>
      </c>
      <c r="U15" s="33">
        <f t="shared" si="5"/>
        <v>2</v>
      </c>
      <c r="V15" s="33">
        <f t="shared" si="5"/>
        <v>0</v>
      </c>
      <c r="W15" s="33">
        <f t="shared" si="5"/>
        <v>8</v>
      </c>
      <c r="X15" s="33">
        <f t="shared" si="5"/>
        <v>7</v>
      </c>
      <c r="Y15" s="33">
        <f>D15+Q15+P15+S15+T15+X15-((F15-E15)+(I15-H15)+(L15-K15)+R15+U15+W15)</f>
        <v>24</v>
      </c>
    </row>
    <row r="16" spans="1:27" x14ac:dyDescent="0.35">
      <c r="G16" s="34"/>
      <c r="J16" s="34"/>
      <c r="M16" s="34"/>
    </row>
    <row r="17" spans="1:25" x14ac:dyDescent="0.35">
      <c r="G17" s="34"/>
      <c r="J17" s="34"/>
      <c r="M17" s="34"/>
    </row>
    <row r="18" spans="1:25" x14ac:dyDescent="0.35">
      <c r="A18" s="3" t="s">
        <v>15</v>
      </c>
      <c r="B18" s="3" t="s">
        <v>17</v>
      </c>
      <c r="C18" s="12">
        <f>SUMIFS('2-DATASET'!AE:AE,'2-DATASET'!G:G,'4-BOXSCORE_1Q'!A18,'2-DATASET'!A:A,$AA$2)</f>
        <v>3.3101851851851847E-3</v>
      </c>
      <c r="D18" s="5">
        <f>SUMIFS('2-DATASET'!M:M,'2-DATASET'!G:G,'4-BOXSCORE_1Q'!A18,'2-DATASET'!A:A,$AA$2)</f>
        <v>1</v>
      </c>
      <c r="E18" s="5">
        <f>(SUMIFS('2-DATASET'!K:K,'2-DATASET'!K:K,2,'2-DATASET'!L:L,1,'2-DATASET'!G:G,'4-BOXSCORE_1Q'!A18,'2-DATASET'!A:A,$AA$2))/2</f>
        <v>0</v>
      </c>
      <c r="F18" s="5">
        <f>(SUMIFS('2-DATASET'!K:K,'2-DATASET'!K:K,2,'2-DATASET'!G:G,'4-BOXSCORE_1Q'!A18,'2-DATASET'!A:A,$AA$2))/2</f>
        <v>1</v>
      </c>
      <c r="G18" s="34">
        <f t="shared" si="0"/>
        <v>0</v>
      </c>
      <c r="H18" s="5">
        <f>(SUMIFS('2-DATASET'!K:K,'2-DATASET'!K:K,3,'2-DATASET'!L:L,1,'2-DATASET'!G:G,'4-BOXSCORE_1Q'!A18,'2-DATASET'!A:A,$AA$2))/3</f>
        <v>0</v>
      </c>
      <c r="I18" s="5">
        <f>(SUMIFS('2-DATASET'!K:K,'2-DATASET'!K:K,3,'2-DATASET'!G:G,'4-BOXSCORE_1Q'!A18,'2-DATASET'!A:A,$AA$2))/3</f>
        <v>0</v>
      </c>
      <c r="J18" s="34">
        <f t="shared" si="1"/>
        <v>0</v>
      </c>
      <c r="K18" s="5">
        <f>(SUMIFS('2-DATASET'!K:K,'2-DATASET'!K:K,1,'2-DATASET'!L:L,1,'2-DATASET'!G:G,'4-BOXSCORE_1Q'!A18,'2-DATASET'!A:A,$AA$2))/1</f>
        <v>1</v>
      </c>
      <c r="L18" s="5">
        <f>(SUMIFS('2-DATASET'!K:K,'2-DATASET'!K:K,1,'2-DATASET'!G:G,'4-BOXSCORE_1Q'!A18,'2-DATASET'!A:A,$AA$2))/1</f>
        <v>2</v>
      </c>
      <c r="M18" s="34">
        <f t="shared" si="2"/>
        <v>0.5</v>
      </c>
      <c r="N18" s="5">
        <f>(SUMIFS('2-DATASET'!T:T,'2-DATASET'!G:G,'4-BOXSCORE_1Q'!A18,'2-DATASET'!A:A,$AA$2))</f>
        <v>0</v>
      </c>
      <c r="O18" s="5">
        <f>(SUMIFS('2-DATASET'!S:S,'2-DATASET'!G:G,'4-BOXSCORE_1Q'!A18,'2-DATASET'!A:A,$AA$2))</f>
        <v>0</v>
      </c>
      <c r="P18" s="5">
        <f t="shared" si="3"/>
        <v>0</v>
      </c>
      <c r="Q18" s="5">
        <f>(SUMIFS('2-DATASET'!U:U,'2-DATASET'!G:G,'4-BOXSCORE_1Q'!A18,'2-DATASET'!A:A,$AA$2))</f>
        <v>1</v>
      </c>
      <c r="R18" s="5">
        <f>(SUMIFS('2-DATASET'!V:V,'2-DATASET'!G:G,'4-BOXSCORE_1Q'!A18,'2-DATASET'!A:A,$AA$2))</f>
        <v>1</v>
      </c>
      <c r="S18" s="5">
        <f>(SUMIFS('2-DATASET'!W:W,'2-DATASET'!G:G,'4-BOXSCORE_1Q'!A18,'2-DATASET'!A:A,$AA$2))</f>
        <v>0</v>
      </c>
      <c r="T18" s="5">
        <f>(SUMIFS('2-DATASET'!X:X,'2-DATASET'!G:G,'4-BOXSCORE_1Q'!A18,'2-DATASET'!A:A,$AA$2))</f>
        <v>0</v>
      </c>
      <c r="U18" s="5">
        <f>(SUMIFS('2-DATASET'!Y:Y,'2-DATASET'!G:G,'4-BOXSCORE_1Q'!A18,'2-DATASET'!A:A,$AA$2))</f>
        <v>0</v>
      </c>
      <c r="V18" s="5">
        <f>(SUMIFS('2-DATASET'!K:K,'2-DATASET'!I:I,"Dunk",'2-DATASET'!G:G,'4-BOXSCORE_1Q'!A18,'2-DATASET'!A:A,$AA$2))/2</f>
        <v>0</v>
      </c>
      <c r="W18" s="5">
        <f>(SUMIFS('2-DATASET'!Z:Z,'2-DATASET'!G:G,'4-BOXSCORE_1Q'!A18,'2-DATASET'!A:A,$AA$2))</f>
        <v>1</v>
      </c>
      <c r="X18" s="5">
        <f>(SUMIFS('2-DATASET'!AA:AA,'2-DATASET'!G:G,'4-BOXSCORE_1Q'!A18,'2-DATASET'!A:A,$AA$2))</f>
        <v>1</v>
      </c>
      <c r="Y18" s="5">
        <f t="shared" si="4"/>
        <v>-1</v>
      </c>
    </row>
    <row r="19" spans="1:25" x14ac:dyDescent="0.35">
      <c r="A19" s="3" t="s">
        <v>18</v>
      </c>
      <c r="B19" s="3" t="s">
        <v>19</v>
      </c>
      <c r="C19" s="12">
        <f>SUMIFS('2-DATASET'!AE:AE,'2-DATASET'!G:G,'4-BOXSCORE_1Q'!A19,'2-DATASET'!A:A,$AA$2)</f>
        <v>3.6342592592592594E-3</v>
      </c>
      <c r="D19" s="5">
        <f>SUMIFS('2-DATASET'!M:M,'2-DATASET'!G:G,'4-BOXSCORE_1Q'!A19,'2-DATASET'!A:A,$AA$2)</f>
        <v>6</v>
      </c>
      <c r="E19" s="5">
        <f>(SUMIFS('2-DATASET'!K:K,'2-DATASET'!K:K,2,'2-DATASET'!L:L,1,'2-DATASET'!G:G,'4-BOXSCORE_1Q'!A19,'2-DATASET'!A:A,$AA$2))/2</f>
        <v>2</v>
      </c>
      <c r="F19" s="5">
        <f>(SUMIFS('2-DATASET'!K:K,'2-DATASET'!K:K,2,'2-DATASET'!G:G,'4-BOXSCORE_1Q'!A19,'2-DATASET'!A:A,$AA$2))/2</f>
        <v>2</v>
      </c>
      <c r="G19" s="34">
        <f t="shared" si="0"/>
        <v>1</v>
      </c>
      <c r="H19" s="5">
        <f>(SUMIFS('2-DATASET'!K:K,'2-DATASET'!K:K,3,'2-DATASET'!L:L,1,'2-DATASET'!G:G,'4-BOXSCORE_1Q'!A19,'2-DATASET'!A:A,$AA$2))/3</f>
        <v>0</v>
      </c>
      <c r="I19" s="5">
        <f>(SUMIFS('2-DATASET'!K:K,'2-DATASET'!K:K,3,'2-DATASET'!G:G,'4-BOXSCORE_1Q'!A19,'2-DATASET'!A:A,$AA$2))/3</f>
        <v>1</v>
      </c>
      <c r="J19" s="34">
        <f t="shared" si="1"/>
        <v>0</v>
      </c>
      <c r="K19" s="5">
        <f>(SUMIFS('2-DATASET'!K:K,'2-DATASET'!K:K,1,'2-DATASET'!L:L,1,'2-DATASET'!G:G,'4-BOXSCORE_1Q'!A19,'2-DATASET'!A:A,$AA$2))/1</f>
        <v>2</v>
      </c>
      <c r="L19" s="5">
        <f>(SUMIFS('2-DATASET'!K:K,'2-DATASET'!K:K,1,'2-DATASET'!G:G,'4-BOXSCORE_1Q'!A19,'2-DATASET'!A:A,$AA$2))/1</f>
        <v>2</v>
      </c>
      <c r="M19" s="34">
        <f t="shared" si="2"/>
        <v>1</v>
      </c>
      <c r="N19" s="5">
        <f>(SUMIFS('2-DATASET'!T:T,'2-DATASET'!G:G,'4-BOXSCORE_1Q'!A19,'2-DATASET'!A:A,$AA$2))</f>
        <v>1</v>
      </c>
      <c r="O19" s="5">
        <f>(SUMIFS('2-DATASET'!S:S,'2-DATASET'!G:G,'4-BOXSCORE_1Q'!A19,'2-DATASET'!A:A,$AA$2))</f>
        <v>0</v>
      </c>
      <c r="P19" s="5">
        <f t="shared" si="3"/>
        <v>1</v>
      </c>
      <c r="Q19" s="5">
        <f>(SUMIFS('2-DATASET'!U:U,'2-DATASET'!G:G,'4-BOXSCORE_1Q'!A19,'2-DATASET'!A:A,$AA$2))</f>
        <v>1</v>
      </c>
      <c r="R19" s="5">
        <f>(SUMIFS('2-DATASET'!V:V,'2-DATASET'!G:G,'4-BOXSCORE_1Q'!A19,'2-DATASET'!A:A,$AA$2))</f>
        <v>0</v>
      </c>
      <c r="S19" s="5">
        <f>(SUMIFS('2-DATASET'!W:W,'2-DATASET'!G:G,'4-BOXSCORE_1Q'!A19,'2-DATASET'!A:A,$AA$2))</f>
        <v>0</v>
      </c>
      <c r="T19" s="5">
        <f>(SUMIFS('2-DATASET'!X:X,'2-DATASET'!G:G,'4-BOXSCORE_1Q'!A19,'2-DATASET'!A:A,$AA$2))</f>
        <v>0</v>
      </c>
      <c r="U19" s="5">
        <f>(SUMIFS('2-DATASET'!Y:Y,'2-DATASET'!G:G,'4-BOXSCORE_1Q'!A19,'2-DATASET'!A:A,$AA$2))</f>
        <v>0</v>
      </c>
      <c r="V19" s="5">
        <f>(SUMIFS('2-DATASET'!K:K,'2-DATASET'!I:I,"Dunk",'2-DATASET'!G:G,'4-BOXSCORE_1Q'!A19,'2-DATASET'!A:A,$AA$2))/2</f>
        <v>0</v>
      </c>
      <c r="W19" s="5">
        <f>(SUMIFS('2-DATASET'!Z:Z,'2-DATASET'!G:G,'4-BOXSCORE_1Q'!A19,'2-DATASET'!A:A,$AA$2))</f>
        <v>1</v>
      </c>
      <c r="X19" s="5">
        <f>(SUMIFS('2-DATASET'!AA:AA,'2-DATASET'!G:G,'4-BOXSCORE_1Q'!A19,'2-DATASET'!A:A,$AA$2))</f>
        <v>1</v>
      </c>
      <c r="Y19" s="5">
        <f t="shared" si="4"/>
        <v>7</v>
      </c>
    </row>
    <row r="20" spans="1:25" x14ac:dyDescent="0.35">
      <c r="A20" s="3" t="s">
        <v>74</v>
      </c>
      <c r="B20" s="3" t="s">
        <v>75</v>
      </c>
      <c r="C20" s="12">
        <f>SUMIFS('2-DATASET'!AE:AE,'2-DATASET'!G:G,'4-BOXSCORE_1Q'!A20,'2-DATASET'!A:A,$AA$2)</f>
        <v>2.9513888888888845E-3</v>
      </c>
      <c r="D20" s="5">
        <f>SUMIFS('2-DATASET'!M:M,'2-DATASET'!G:G,'4-BOXSCORE_1Q'!A20,'2-DATASET'!A:A,$AA$2)</f>
        <v>0</v>
      </c>
      <c r="E20" s="5">
        <f>(SUMIFS('2-DATASET'!K:K,'2-DATASET'!K:K,2,'2-DATASET'!L:L,1,'2-DATASET'!G:G,'4-BOXSCORE_1Q'!A20,'2-DATASET'!A:A,$AA$2))/2</f>
        <v>0</v>
      </c>
      <c r="F20" s="5">
        <f>(SUMIFS('2-DATASET'!K:K,'2-DATASET'!K:K,2,'2-DATASET'!G:G,'4-BOXSCORE_1Q'!A20,'2-DATASET'!A:A,$AA$2))/2</f>
        <v>0</v>
      </c>
      <c r="G20" s="34">
        <f t="shared" si="0"/>
        <v>0</v>
      </c>
      <c r="H20" s="5">
        <f>(SUMIFS('2-DATASET'!K:K,'2-DATASET'!K:K,3,'2-DATASET'!L:L,1,'2-DATASET'!G:G,'4-BOXSCORE_1Q'!A20,'2-DATASET'!A:A,$AA$2))/3</f>
        <v>0</v>
      </c>
      <c r="I20" s="5">
        <f>(SUMIFS('2-DATASET'!K:K,'2-DATASET'!K:K,3,'2-DATASET'!G:G,'4-BOXSCORE_1Q'!A20,'2-DATASET'!A:A,$AA$2))/3</f>
        <v>0</v>
      </c>
      <c r="J20" s="34">
        <f t="shared" si="1"/>
        <v>0</v>
      </c>
      <c r="K20" s="5">
        <f>(SUMIFS('2-DATASET'!K:K,'2-DATASET'!K:K,1,'2-DATASET'!L:L,1,'2-DATASET'!G:G,'4-BOXSCORE_1Q'!A20,'2-DATASET'!A:A,$AA$2))/1</f>
        <v>0</v>
      </c>
      <c r="L20" s="5">
        <f>(SUMIFS('2-DATASET'!K:K,'2-DATASET'!K:K,1,'2-DATASET'!G:G,'4-BOXSCORE_1Q'!A20,'2-DATASET'!A:A,$AA$2))/1</f>
        <v>0</v>
      </c>
      <c r="M20" s="34">
        <f t="shared" si="2"/>
        <v>0</v>
      </c>
      <c r="N20" s="5">
        <f>(SUMIFS('2-DATASET'!T:T,'2-DATASET'!G:G,'4-BOXSCORE_1Q'!A20,'2-DATASET'!A:A,$AA$2))</f>
        <v>0</v>
      </c>
      <c r="O20" s="5">
        <f>(SUMIFS('2-DATASET'!S:S,'2-DATASET'!G:G,'4-BOXSCORE_1Q'!A20,'2-DATASET'!A:A,$AA$2))</f>
        <v>0</v>
      </c>
      <c r="P20" s="5">
        <f t="shared" si="3"/>
        <v>0</v>
      </c>
      <c r="Q20" s="5">
        <f>(SUMIFS('2-DATASET'!U:U,'2-DATASET'!G:G,'4-BOXSCORE_1Q'!A20,'2-DATASET'!A:A,$AA$2))</f>
        <v>0</v>
      </c>
      <c r="R20" s="5">
        <f>(SUMIFS('2-DATASET'!V:V,'2-DATASET'!G:G,'4-BOXSCORE_1Q'!A20,'2-DATASET'!A:A,$AA$2))</f>
        <v>0</v>
      </c>
      <c r="S20" s="5">
        <f>(SUMIFS('2-DATASET'!W:W,'2-DATASET'!G:G,'4-BOXSCORE_1Q'!A20,'2-DATASET'!A:A,$AA$2))</f>
        <v>0</v>
      </c>
      <c r="T20" s="5">
        <f>(SUMIFS('2-DATASET'!X:X,'2-DATASET'!G:G,'4-BOXSCORE_1Q'!A20,'2-DATASET'!A:A,$AA$2))</f>
        <v>0</v>
      </c>
      <c r="U20" s="5">
        <f>(SUMIFS('2-DATASET'!Y:Y,'2-DATASET'!G:G,'4-BOXSCORE_1Q'!A20,'2-DATASET'!A:A,$AA$2))</f>
        <v>0</v>
      </c>
      <c r="V20" s="5">
        <f>(SUMIFS('2-DATASET'!K:K,'2-DATASET'!I:I,"Dunk",'2-DATASET'!G:G,'4-BOXSCORE_1Q'!A20,'2-DATASET'!A:A,$AA$2))/2</f>
        <v>0</v>
      </c>
      <c r="W20" s="5">
        <f>(SUMIFS('2-DATASET'!Z:Z,'2-DATASET'!G:G,'4-BOXSCORE_1Q'!A20,'2-DATASET'!A:A,$AA$2))</f>
        <v>1</v>
      </c>
      <c r="X20" s="5">
        <f>(SUMIFS('2-DATASET'!AA:AA,'2-DATASET'!G:G,'4-BOXSCORE_1Q'!A20,'2-DATASET'!A:A,$AA$2))</f>
        <v>0</v>
      </c>
      <c r="Y20" s="5">
        <f t="shared" si="4"/>
        <v>-1</v>
      </c>
    </row>
    <row r="21" spans="1:25" x14ac:dyDescent="0.35">
      <c r="A21" s="3" t="s">
        <v>20</v>
      </c>
      <c r="B21" s="3" t="s">
        <v>21</v>
      </c>
      <c r="C21" s="12">
        <f>SUMIFS('2-DATASET'!AE:AE,'2-DATASET'!G:G,'4-BOXSCORE_1Q'!A21,'2-DATASET'!A:A,$AA$2)</f>
        <v>2.9513888888888888E-3</v>
      </c>
      <c r="D21" s="5">
        <f>SUMIFS('2-DATASET'!M:M,'2-DATASET'!G:G,'4-BOXSCORE_1Q'!A21,'2-DATASET'!A:A,$AA$2)</f>
        <v>4</v>
      </c>
      <c r="E21" s="5">
        <f>(SUMIFS('2-DATASET'!K:K,'2-DATASET'!K:K,2,'2-DATASET'!L:L,1,'2-DATASET'!G:G,'4-BOXSCORE_1Q'!A21,'2-DATASET'!A:A,$AA$2))/2</f>
        <v>1</v>
      </c>
      <c r="F21" s="5">
        <f>(SUMIFS('2-DATASET'!K:K,'2-DATASET'!K:K,2,'2-DATASET'!G:G,'4-BOXSCORE_1Q'!A21,'2-DATASET'!A:A,$AA$2))/2</f>
        <v>1</v>
      </c>
      <c r="G21" s="34">
        <f t="shared" si="0"/>
        <v>1</v>
      </c>
      <c r="H21" s="5">
        <f>(SUMIFS('2-DATASET'!K:K,'2-DATASET'!K:K,3,'2-DATASET'!L:L,1,'2-DATASET'!G:G,'4-BOXSCORE_1Q'!A21,'2-DATASET'!A:A,$AA$2))/3</f>
        <v>0</v>
      </c>
      <c r="I21" s="5">
        <f>(SUMIFS('2-DATASET'!K:K,'2-DATASET'!K:K,3,'2-DATASET'!G:G,'4-BOXSCORE_1Q'!A21,'2-DATASET'!A:A,$AA$2))/3</f>
        <v>0</v>
      </c>
      <c r="J21" s="34">
        <f t="shared" si="1"/>
        <v>0</v>
      </c>
      <c r="K21" s="5">
        <f>(SUMIFS('2-DATASET'!K:K,'2-DATASET'!K:K,1,'2-DATASET'!L:L,1,'2-DATASET'!G:G,'4-BOXSCORE_1Q'!A21,'2-DATASET'!A:A,$AA$2))/1</f>
        <v>2</v>
      </c>
      <c r="L21" s="5">
        <f>(SUMIFS('2-DATASET'!K:K,'2-DATASET'!K:K,1,'2-DATASET'!G:G,'4-BOXSCORE_1Q'!A21,'2-DATASET'!A:A,$AA$2))/1</f>
        <v>2</v>
      </c>
      <c r="M21" s="34">
        <f t="shared" si="2"/>
        <v>1</v>
      </c>
      <c r="N21" s="5">
        <f>(SUMIFS('2-DATASET'!T:T,'2-DATASET'!G:G,'4-BOXSCORE_1Q'!A21,'2-DATASET'!A:A,$AA$2))</f>
        <v>1</v>
      </c>
      <c r="O21" s="5">
        <f>(SUMIFS('2-DATASET'!S:S,'2-DATASET'!G:G,'4-BOXSCORE_1Q'!A21,'2-DATASET'!A:A,$AA$2))</f>
        <v>0</v>
      </c>
      <c r="P21" s="5">
        <f t="shared" si="3"/>
        <v>1</v>
      </c>
      <c r="Q21" s="5">
        <f>(SUMIFS('2-DATASET'!U:U,'2-DATASET'!G:G,'4-BOXSCORE_1Q'!A21,'2-DATASET'!A:A,$AA$2))</f>
        <v>1</v>
      </c>
      <c r="R21" s="5">
        <f>(SUMIFS('2-DATASET'!V:V,'2-DATASET'!G:G,'4-BOXSCORE_1Q'!A21,'2-DATASET'!A:A,$AA$2))</f>
        <v>0</v>
      </c>
      <c r="S21" s="5">
        <f>(SUMIFS('2-DATASET'!W:W,'2-DATASET'!G:G,'4-BOXSCORE_1Q'!A21,'2-DATASET'!A:A,$AA$2))</f>
        <v>0</v>
      </c>
      <c r="T21" s="5">
        <f>(SUMIFS('2-DATASET'!X:X,'2-DATASET'!G:G,'4-BOXSCORE_1Q'!A21,'2-DATASET'!A:A,$AA$2))</f>
        <v>0</v>
      </c>
      <c r="U21" s="5">
        <f>(SUMIFS('2-DATASET'!Y:Y,'2-DATASET'!G:G,'4-BOXSCORE_1Q'!A21,'2-DATASET'!A:A,$AA$2))</f>
        <v>0</v>
      </c>
      <c r="V21" s="5">
        <f>(SUMIFS('2-DATASET'!K:K,'2-DATASET'!I:I,"Dunk",'2-DATASET'!G:G,'4-BOXSCORE_1Q'!A21,'2-DATASET'!A:A,$AA$2))/2</f>
        <v>0</v>
      </c>
      <c r="W21" s="5">
        <f>(SUMIFS('2-DATASET'!Z:Z,'2-DATASET'!G:G,'4-BOXSCORE_1Q'!A21,'2-DATASET'!A:A,$AA$2))</f>
        <v>0</v>
      </c>
      <c r="X21" s="5">
        <f>(SUMIFS('2-DATASET'!AA:AA,'2-DATASET'!G:G,'4-BOXSCORE_1Q'!A21,'2-DATASET'!A:A,$AA$2))</f>
        <v>2</v>
      </c>
      <c r="Y21" s="5">
        <f t="shared" si="4"/>
        <v>8</v>
      </c>
    </row>
    <row r="22" spans="1:25" x14ac:dyDescent="0.35">
      <c r="A22" s="3" t="s">
        <v>22</v>
      </c>
      <c r="B22" s="3" t="s">
        <v>23</v>
      </c>
      <c r="C22" s="12">
        <f>SUMIFS('2-DATASET'!AE:AE,'2-DATASET'!G:G,'4-BOXSCORE_1Q'!A22,'2-DATASET'!A:A,$AA$2)</f>
        <v>1.6087962962962963E-3</v>
      </c>
      <c r="D22" s="5">
        <f>SUMIFS('2-DATASET'!M:M,'2-DATASET'!G:G,'4-BOXSCORE_1Q'!A22,'2-DATASET'!A:A,$AA$2)</f>
        <v>0</v>
      </c>
      <c r="E22" s="5">
        <f>(SUMIFS('2-DATASET'!K:K,'2-DATASET'!K:K,2,'2-DATASET'!L:L,1,'2-DATASET'!G:G,'4-BOXSCORE_1Q'!A22,'2-DATASET'!A:A,$AA$2))/2</f>
        <v>0</v>
      </c>
      <c r="F22" s="5">
        <f>(SUMIFS('2-DATASET'!K:K,'2-DATASET'!K:K,2,'2-DATASET'!G:G,'4-BOXSCORE_1Q'!A22,'2-DATASET'!A:A,$AA$2))/2</f>
        <v>1</v>
      </c>
      <c r="G22" s="34">
        <f t="shared" si="0"/>
        <v>0</v>
      </c>
      <c r="H22" s="5">
        <f>(SUMIFS('2-DATASET'!K:K,'2-DATASET'!K:K,3,'2-DATASET'!L:L,1,'2-DATASET'!G:G,'4-BOXSCORE_1Q'!A22,'2-DATASET'!A:A,$AA$2))/3</f>
        <v>0</v>
      </c>
      <c r="I22" s="5">
        <f>(SUMIFS('2-DATASET'!K:K,'2-DATASET'!K:K,3,'2-DATASET'!G:G,'4-BOXSCORE_1Q'!A22,'2-DATASET'!A:A,$AA$2))/3</f>
        <v>0</v>
      </c>
      <c r="J22" s="34">
        <f t="shared" si="1"/>
        <v>0</v>
      </c>
      <c r="K22" s="5">
        <f>(SUMIFS('2-DATASET'!K:K,'2-DATASET'!K:K,1,'2-DATASET'!L:L,1,'2-DATASET'!G:G,'4-BOXSCORE_1Q'!A22,'2-DATASET'!A:A,$AA$2))/1</f>
        <v>0</v>
      </c>
      <c r="L22" s="5">
        <f>(SUMIFS('2-DATASET'!K:K,'2-DATASET'!K:K,1,'2-DATASET'!G:G,'4-BOXSCORE_1Q'!A22,'2-DATASET'!A:A,$AA$2))/1</f>
        <v>0</v>
      </c>
      <c r="M22" s="34">
        <f t="shared" si="2"/>
        <v>0</v>
      </c>
      <c r="N22" s="5">
        <f>(SUMIFS('2-DATASET'!T:T,'2-DATASET'!G:G,'4-BOXSCORE_1Q'!A22,'2-DATASET'!A:A,$AA$2))</f>
        <v>0</v>
      </c>
      <c r="O22" s="5">
        <f>(SUMIFS('2-DATASET'!S:S,'2-DATASET'!G:G,'4-BOXSCORE_1Q'!A22,'2-DATASET'!A:A,$AA$2))</f>
        <v>0</v>
      </c>
      <c r="P22" s="5">
        <f t="shared" si="3"/>
        <v>0</v>
      </c>
      <c r="Q22" s="5">
        <f>(SUMIFS('2-DATASET'!U:U,'2-DATASET'!G:G,'4-BOXSCORE_1Q'!A22,'2-DATASET'!A:A,$AA$2))</f>
        <v>0</v>
      </c>
      <c r="R22" s="5">
        <f>(SUMIFS('2-DATASET'!V:V,'2-DATASET'!G:G,'4-BOXSCORE_1Q'!A22,'2-DATASET'!A:A,$AA$2))</f>
        <v>0</v>
      </c>
      <c r="S22" s="5">
        <f>(SUMIFS('2-DATASET'!W:W,'2-DATASET'!G:G,'4-BOXSCORE_1Q'!A22,'2-DATASET'!A:A,$AA$2))</f>
        <v>0</v>
      </c>
      <c r="T22" s="5">
        <f>(SUMIFS('2-DATASET'!X:X,'2-DATASET'!G:G,'4-BOXSCORE_1Q'!A22,'2-DATASET'!A:A,$AA$2))</f>
        <v>0</v>
      </c>
      <c r="U22" s="5">
        <f>(SUMIFS('2-DATASET'!Y:Y,'2-DATASET'!G:G,'4-BOXSCORE_1Q'!A22,'2-DATASET'!A:A,$AA$2))</f>
        <v>0</v>
      </c>
      <c r="V22" s="5">
        <f>(SUMIFS('2-DATASET'!K:K,'2-DATASET'!I:I,"Dunk",'2-DATASET'!G:G,'4-BOXSCORE_1Q'!A22,'2-DATASET'!A:A,$AA$2))/2</f>
        <v>0</v>
      </c>
      <c r="W22" s="5">
        <f>(SUMIFS('2-DATASET'!Z:Z,'2-DATASET'!G:G,'4-BOXSCORE_1Q'!A22,'2-DATASET'!A:A,$AA$2))</f>
        <v>0</v>
      </c>
      <c r="X22" s="5">
        <f>(SUMIFS('2-DATASET'!AA:AA,'2-DATASET'!G:G,'4-BOXSCORE_1Q'!A22,'2-DATASET'!A:A,$AA$2))</f>
        <v>0</v>
      </c>
      <c r="Y22" s="5">
        <f t="shared" si="4"/>
        <v>-1</v>
      </c>
    </row>
    <row r="23" spans="1:25" x14ac:dyDescent="0.35">
      <c r="A23" s="3" t="s">
        <v>24</v>
      </c>
      <c r="B23" s="3" t="s">
        <v>76</v>
      </c>
      <c r="C23" s="12">
        <f>SUMIFS('2-DATASET'!AE:AE,'2-DATASET'!G:G,'4-BOXSCORE_1Q'!A23,'2-DATASET'!A:A,$AA$2)</f>
        <v>2.3842592592592587E-3</v>
      </c>
      <c r="D23" s="5">
        <f>SUMIFS('2-DATASET'!M:M,'2-DATASET'!G:G,'4-BOXSCORE_1Q'!A23,'2-DATASET'!A:A,$AA$2)</f>
        <v>2</v>
      </c>
      <c r="E23" s="5">
        <f>(SUMIFS('2-DATASET'!K:K,'2-DATASET'!K:K,2,'2-DATASET'!L:L,1,'2-DATASET'!G:G,'4-BOXSCORE_1Q'!A23,'2-DATASET'!A:A,$AA$2))/2</f>
        <v>0</v>
      </c>
      <c r="F23" s="5">
        <f>(SUMIFS('2-DATASET'!K:K,'2-DATASET'!K:K,2,'2-DATASET'!G:G,'4-BOXSCORE_1Q'!A23,'2-DATASET'!A:A,$AA$2))/2</f>
        <v>1</v>
      </c>
      <c r="G23" s="34">
        <f t="shared" si="0"/>
        <v>0</v>
      </c>
      <c r="H23" s="5">
        <f>(SUMIFS('2-DATASET'!K:K,'2-DATASET'!K:K,3,'2-DATASET'!L:L,1,'2-DATASET'!G:G,'4-BOXSCORE_1Q'!A23,'2-DATASET'!A:A,$AA$2))/3</f>
        <v>0</v>
      </c>
      <c r="I23" s="5">
        <f>(SUMIFS('2-DATASET'!K:K,'2-DATASET'!K:K,3,'2-DATASET'!G:G,'4-BOXSCORE_1Q'!A23,'2-DATASET'!A:A,$AA$2))/3</f>
        <v>1</v>
      </c>
      <c r="J23" s="34">
        <f t="shared" si="1"/>
        <v>0</v>
      </c>
      <c r="K23" s="5">
        <f>(SUMIFS('2-DATASET'!K:K,'2-DATASET'!K:K,1,'2-DATASET'!L:L,1,'2-DATASET'!G:G,'4-BOXSCORE_1Q'!A23,'2-DATASET'!A:A,$AA$2))/1</f>
        <v>2</v>
      </c>
      <c r="L23" s="5">
        <f>(SUMIFS('2-DATASET'!K:K,'2-DATASET'!K:K,1,'2-DATASET'!G:G,'4-BOXSCORE_1Q'!A23,'2-DATASET'!A:A,$AA$2))/1</f>
        <v>3</v>
      </c>
      <c r="M23" s="34">
        <f t="shared" si="2"/>
        <v>0.66666666666666663</v>
      </c>
      <c r="N23" s="5">
        <f>(SUMIFS('2-DATASET'!T:T,'2-DATASET'!G:G,'4-BOXSCORE_1Q'!A23,'2-DATASET'!A:A,$AA$2))</f>
        <v>0</v>
      </c>
      <c r="O23" s="5">
        <f>(SUMIFS('2-DATASET'!S:S,'2-DATASET'!G:G,'4-BOXSCORE_1Q'!A23,'2-DATASET'!A:A,$AA$2))</f>
        <v>0</v>
      </c>
      <c r="P23" s="5">
        <f t="shared" si="3"/>
        <v>0</v>
      </c>
      <c r="Q23" s="5">
        <f>(SUMIFS('2-DATASET'!U:U,'2-DATASET'!G:G,'4-BOXSCORE_1Q'!A23,'2-DATASET'!A:A,$AA$2))</f>
        <v>0</v>
      </c>
      <c r="R23" s="5">
        <f>(SUMIFS('2-DATASET'!V:V,'2-DATASET'!G:G,'4-BOXSCORE_1Q'!A23,'2-DATASET'!A:A,$AA$2))</f>
        <v>0</v>
      </c>
      <c r="S23" s="5">
        <f>(SUMIFS('2-DATASET'!W:W,'2-DATASET'!G:G,'4-BOXSCORE_1Q'!A23,'2-DATASET'!A:A,$AA$2))</f>
        <v>0</v>
      </c>
      <c r="T23" s="5">
        <f>(SUMIFS('2-DATASET'!X:X,'2-DATASET'!G:G,'4-BOXSCORE_1Q'!A23,'2-DATASET'!A:A,$AA$2))</f>
        <v>0</v>
      </c>
      <c r="U23" s="5">
        <f>(SUMIFS('2-DATASET'!Y:Y,'2-DATASET'!G:G,'4-BOXSCORE_1Q'!A23,'2-DATASET'!A:A,$AA$2))</f>
        <v>1</v>
      </c>
      <c r="V23" s="5">
        <f>(SUMIFS('2-DATASET'!K:K,'2-DATASET'!I:I,"Dunk",'2-DATASET'!G:G,'4-BOXSCORE_1Q'!A23,'2-DATASET'!A:A,$AA$2))/2</f>
        <v>0</v>
      </c>
      <c r="W23" s="5">
        <f>(SUMIFS('2-DATASET'!Z:Z,'2-DATASET'!G:G,'4-BOXSCORE_1Q'!A23,'2-DATASET'!A:A,$AA$2))</f>
        <v>0</v>
      </c>
      <c r="X23" s="5">
        <f>(SUMIFS('2-DATASET'!AA:AA,'2-DATASET'!G:G,'4-BOXSCORE_1Q'!A23,'2-DATASET'!A:A,$AA$2))</f>
        <v>1</v>
      </c>
      <c r="Y23" s="5">
        <f t="shared" si="4"/>
        <v>-1</v>
      </c>
    </row>
    <row r="24" spans="1:25" x14ac:dyDescent="0.35">
      <c r="A24" s="3" t="s">
        <v>45</v>
      </c>
      <c r="B24" s="3" t="s">
        <v>77</v>
      </c>
      <c r="C24" s="12">
        <f>SUMIFS('2-DATASET'!AE:AE,'2-DATASET'!G:G,'4-BOXSCORE_1Q'!A24,'2-DATASET'!A:A,$AA$2)</f>
        <v>3.1481481481481482E-3</v>
      </c>
      <c r="D24" s="5">
        <f>SUMIFS('2-DATASET'!M:M,'2-DATASET'!G:G,'4-BOXSCORE_1Q'!A24,'2-DATASET'!A:A,$AA$2)</f>
        <v>6</v>
      </c>
      <c r="E24" s="5">
        <f>(SUMIFS('2-DATASET'!K:K,'2-DATASET'!K:K,2,'2-DATASET'!L:L,1,'2-DATASET'!G:G,'4-BOXSCORE_1Q'!A24,'2-DATASET'!A:A,$AA$2))/2</f>
        <v>2</v>
      </c>
      <c r="F24" s="5">
        <f>(SUMIFS('2-DATASET'!K:K,'2-DATASET'!K:K,2,'2-DATASET'!G:G,'4-BOXSCORE_1Q'!A24,'2-DATASET'!A:A,$AA$2))/2</f>
        <v>2</v>
      </c>
      <c r="G24" s="34">
        <f t="shared" si="0"/>
        <v>1</v>
      </c>
      <c r="H24" s="5">
        <f>(SUMIFS('2-DATASET'!K:K,'2-DATASET'!K:K,3,'2-DATASET'!L:L,1,'2-DATASET'!G:G,'4-BOXSCORE_1Q'!A24,'2-DATASET'!A:A,$AA$2))/3</f>
        <v>0</v>
      </c>
      <c r="I24" s="5">
        <f>(SUMIFS('2-DATASET'!K:K,'2-DATASET'!K:K,3,'2-DATASET'!G:G,'4-BOXSCORE_1Q'!A24,'2-DATASET'!A:A,$AA$2))/3</f>
        <v>0</v>
      </c>
      <c r="J24" s="34">
        <f t="shared" si="1"/>
        <v>0</v>
      </c>
      <c r="K24" s="5">
        <f>(SUMIFS('2-DATASET'!K:K,'2-DATASET'!K:K,1,'2-DATASET'!L:L,1,'2-DATASET'!G:G,'4-BOXSCORE_1Q'!A24,'2-DATASET'!A:A,$AA$2))/1</f>
        <v>2</v>
      </c>
      <c r="L24" s="5">
        <f>(SUMIFS('2-DATASET'!K:K,'2-DATASET'!K:K,1,'2-DATASET'!G:G,'4-BOXSCORE_1Q'!A24,'2-DATASET'!A:A,$AA$2))/1</f>
        <v>2</v>
      </c>
      <c r="M24" s="34">
        <f t="shared" si="2"/>
        <v>1</v>
      </c>
      <c r="N24" s="5">
        <f>(SUMIFS('2-DATASET'!T:T,'2-DATASET'!G:G,'4-BOXSCORE_1Q'!A24,'2-DATASET'!A:A,$AA$2))</f>
        <v>0</v>
      </c>
      <c r="O24" s="5">
        <f>(SUMIFS('2-DATASET'!S:S,'2-DATASET'!G:G,'4-BOXSCORE_1Q'!A24,'2-DATASET'!A:A,$AA$2))</f>
        <v>1</v>
      </c>
      <c r="P24" s="5">
        <f t="shared" si="3"/>
        <v>1</v>
      </c>
      <c r="Q24" s="5">
        <f>(SUMIFS('2-DATASET'!U:U,'2-DATASET'!G:G,'4-BOXSCORE_1Q'!A24,'2-DATASET'!A:A,$AA$2))</f>
        <v>0</v>
      </c>
      <c r="R24" s="5">
        <f>(SUMIFS('2-DATASET'!V:V,'2-DATASET'!G:G,'4-BOXSCORE_1Q'!A24,'2-DATASET'!A:A,$AA$2))</f>
        <v>1</v>
      </c>
      <c r="S24" s="5">
        <f>(SUMIFS('2-DATASET'!W:W,'2-DATASET'!G:G,'4-BOXSCORE_1Q'!A24,'2-DATASET'!A:A,$AA$2))</f>
        <v>1</v>
      </c>
      <c r="T24" s="5">
        <f>(SUMIFS('2-DATASET'!X:X,'2-DATASET'!G:G,'4-BOXSCORE_1Q'!A24,'2-DATASET'!A:A,$AA$2))</f>
        <v>0</v>
      </c>
      <c r="U24" s="5">
        <f>(SUMIFS('2-DATASET'!Y:Y,'2-DATASET'!G:G,'4-BOXSCORE_1Q'!A24,'2-DATASET'!A:A,$AA$2))</f>
        <v>0</v>
      </c>
      <c r="V24" s="5">
        <f>(SUMIFS('2-DATASET'!K:K,'2-DATASET'!I:I,"Dunk",'2-DATASET'!G:G,'4-BOXSCORE_1Q'!A24,'2-DATASET'!A:A,$AA$2))/2</f>
        <v>0</v>
      </c>
      <c r="W24" s="5">
        <f>(SUMIFS('2-DATASET'!Z:Z,'2-DATASET'!G:G,'4-BOXSCORE_1Q'!A24,'2-DATASET'!A:A,$AA$2))</f>
        <v>2</v>
      </c>
      <c r="X24" s="5">
        <f>(SUMIFS('2-DATASET'!AA:AA,'2-DATASET'!G:G,'4-BOXSCORE_1Q'!A24,'2-DATASET'!A:A,$AA$2))</f>
        <v>2</v>
      </c>
      <c r="Y24" s="5">
        <f t="shared" si="4"/>
        <v>7</v>
      </c>
    </row>
    <row r="25" spans="1:25" x14ac:dyDescent="0.35">
      <c r="A25" s="3" t="s">
        <v>25</v>
      </c>
      <c r="B25" s="3" t="s">
        <v>26</v>
      </c>
      <c r="C25" s="12">
        <f>SUMIFS('2-DATASET'!AE:AE,'2-DATASET'!G:G,'4-BOXSCORE_1Q'!A25,'2-DATASET'!A:A,$AA$2)</f>
        <v>2.2453703703703698E-3</v>
      </c>
      <c r="D25" s="5">
        <f>SUMIFS('2-DATASET'!M:M,'2-DATASET'!G:G,'4-BOXSCORE_1Q'!A25,'2-DATASET'!A:A,$AA$2)</f>
        <v>4</v>
      </c>
      <c r="E25" s="5">
        <f>(SUMIFS('2-DATASET'!K:K,'2-DATASET'!K:K,2,'2-DATASET'!L:L,1,'2-DATASET'!G:G,'4-BOXSCORE_1Q'!A25,'2-DATASET'!A:A,$AA$2))/2</f>
        <v>2</v>
      </c>
      <c r="F25" s="5">
        <f>(SUMIFS('2-DATASET'!K:K,'2-DATASET'!K:K,2,'2-DATASET'!G:G,'4-BOXSCORE_1Q'!A25,'2-DATASET'!A:A,$AA$2))/2</f>
        <v>2</v>
      </c>
      <c r="G25" s="34">
        <f t="shared" si="0"/>
        <v>1</v>
      </c>
      <c r="H25" s="5">
        <f>(SUMIFS('2-DATASET'!K:K,'2-DATASET'!K:K,3,'2-DATASET'!L:L,1,'2-DATASET'!G:G,'4-BOXSCORE_1Q'!A25,'2-DATASET'!A:A,$AA$2))/3</f>
        <v>0</v>
      </c>
      <c r="I25" s="5">
        <f>(SUMIFS('2-DATASET'!K:K,'2-DATASET'!K:K,3,'2-DATASET'!G:G,'4-BOXSCORE_1Q'!A25,'2-DATASET'!A:A,$AA$2))/3</f>
        <v>0</v>
      </c>
      <c r="J25" s="34">
        <f t="shared" si="1"/>
        <v>0</v>
      </c>
      <c r="K25" s="5">
        <f>(SUMIFS('2-DATASET'!K:K,'2-DATASET'!K:K,1,'2-DATASET'!L:L,1,'2-DATASET'!G:G,'4-BOXSCORE_1Q'!A25,'2-DATASET'!A:A,$AA$2))/1</f>
        <v>0</v>
      </c>
      <c r="L25" s="5">
        <f>(SUMIFS('2-DATASET'!K:K,'2-DATASET'!K:K,1,'2-DATASET'!G:G,'4-BOXSCORE_1Q'!A25,'2-DATASET'!A:A,$AA$2))/1</f>
        <v>0</v>
      </c>
      <c r="M25" s="34">
        <f t="shared" si="2"/>
        <v>0</v>
      </c>
      <c r="N25" s="5">
        <f>(SUMIFS('2-DATASET'!T:T,'2-DATASET'!G:G,'4-BOXSCORE_1Q'!A25,'2-DATASET'!A:A,$AA$2))</f>
        <v>0</v>
      </c>
      <c r="O25" s="5">
        <f>(SUMIFS('2-DATASET'!S:S,'2-DATASET'!G:G,'4-BOXSCORE_1Q'!A25,'2-DATASET'!A:A,$AA$2))</f>
        <v>0</v>
      </c>
      <c r="P25" s="5">
        <f t="shared" si="3"/>
        <v>0</v>
      </c>
      <c r="Q25" s="5">
        <f>(SUMIFS('2-DATASET'!U:U,'2-DATASET'!G:G,'4-BOXSCORE_1Q'!A25,'2-DATASET'!A:A,$AA$2))</f>
        <v>0</v>
      </c>
      <c r="R25" s="5">
        <f>(SUMIFS('2-DATASET'!V:V,'2-DATASET'!G:G,'4-BOXSCORE_1Q'!A25,'2-DATASET'!A:A,$AA$2))</f>
        <v>0</v>
      </c>
      <c r="S25" s="5">
        <f>(SUMIFS('2-DATASET'!W:W,'2-DATASET'!G:G,'4-BOXSCORE_1Q'!A25,'2-DATASET'!A:A,$AA$2))</f>
        <v>0</v>
      </c>
      <c r="T25" s="5">
        <f>(SUMIFS('2-DATASET'!X:X,'2-DATASET'!G:G,'4-BOXSCORE_1Q'!A25,'2-DATASET'!A:A,$AA$2))</f>
        <v>0</v>
      </c>
      <c r="U25" s="5">
        <f>(SUMIFS('2-DATASET'!Y:Y,'2-DATASET'!G:G,'4-BOXSCORE_1Q'!A25,'2-DATASET'!A:A,$AA$2))</f>
        <v>0</v>
      </c>
      <c r="V25" s="5">
        <f>(SUMIFS('2-DATASET'!K:K,'2-DATASET'!I:I,"Dunk",'2-DATASET'!G:G,'4-BOXSCORE_1Q'!A25,'2-DATASET'!A:A,$AA$2))/2</f>
        <v>1</v>
      </c>
      <c r="W25" s="5">
        <f>(SUMIFS('2-DATASET'!Z:Z,'2-DATASET'!G:G,'4-BOXSCORE_1Q'!A25,'2-DATASET'!A:A,$AA$2))</f>
        <v>2</v>
      </c>
      <c r="X25" s="5">
        <f>(SUMIFS('2-DATASET'!AA:AA,'2-DATASET'!G:G,'4-BOXSCORE_1Q'!A25,'2-DATASET'!A:A,$AA$2))</f>
        <v>0</v>
      </c>
      <c r="Y25" s="5">
        <f t="shared" si="4"/>
        <v>2</v>
      </c>
    </row>
    <row r="26" spans="1:25" x14ac:dyDescent="0.35">
      <c r="A26" s="3" t="s">
        <v>38</v>
      </c>
      <c r="B26" s="3" t="s">
        <v>37</v>
      </c>
      <c r="C26" s="12">
        <f>SUMIFS('2-DATASET'!AE:AE,'2-DATASET'!G:G,'4-BOXSCORE_1Q'!A26,'2-DATASET'!A:A,$AA$2)</f>
        <v>2.9513888888888888E-3</v>
      </c>
      <c r="D26" s="5">
        <f>SUMIFS('2-DATASET'!M:M,'2-DATASET'!G:G,'4-BOXSCORE_1Q'!A26,'2-DATASET'!A:A,$AA$2)</f>
        <v>0</v>
      </c>
      <c r="E26" s="5">
        <f>(SUMIFS('2-DATASET'!K:K,'2-DATASET'!K:K,2,'2-DATASET'!L:L,1,'2-DATASET'!G:G,'4-BOXSCORE_1Q'!A26,'2-DATASET'!A:A,$AA$2))/2</f>
        <v>0</v>
      </c>
      <c r="F26" s="5">
        <f>(SUMIFS('2-DATASET'!K:K,'2-DATASET'!K:K,2,'2-DATASET'!G:G,'4-BOXSCORE_1Q'!A26,'2-DATASET'!A:A,$AA$2))/2</f>
        <v>0</v>
      </c>
      <c r="G26" s="34">
        <f t="shared" si="0"/>
        <v>0</v>
      </c>
      <c r="H26" s="5">
        <f>(SUMIFS('2-DATASET'!K:K,'2-DATASET'!K:K,3,'2-DATASET'!L:L,1,'2-DATASET'!G:G,'4-BOXSCORE_1Q'!A26,'2-DATASET'!A:A,$AA$2))/3</f>
        <v>0</v>
      </c>
      <c r="I26" s="5">
        <f>(SUMIFS('2-DATASET'!K:K,'2-DATASET'!K:K,3,'2-DATASET'!G:G,'4-BOXSCORE_1Q'!A26,'2-DATASET'!A:A,$AA$2))/3</f>
        <v>0</v>
      </c>
      <c r="J26" s="34">
        <f t="shared" si="1"/>
        <v>0</v>
      </c>
      <c r="K26" s="5">
        <f>(SUMIFS('2-DATASET'!K:K,'2-DATASET'!K:K,1,'2-DATASET'!L:L,1,'2-DATASET'!G:G,'4-BOXSCORE_1Q'!A26,'2-DATASET'!A:A,$AA$2))/1</f>
        <v>0</v>
      </c>
      <c r="L26" s="5">
        <f>(SUMIFS('2-DATASET'!K:K,'2-DATASET'!K:K,1,'2-DATASET'!G:G,'4-BOXSCORE_1Q'!A26,'2-DATASET'!A:A,$AA$2))/1</f>
        <v>0</v>
      </c>
      <c r="M26" s="34">
        <f t="shared" si="2"/>
        <v>0</v>
      </c>
      <c r="N26" s="5">
        <f>(SUMIFS('2-DATASET'!T:T,'2-DATASET'!G:G,'4-BOXSCORE_1Q'!A26,'2-DATASET'!A:A,$AA$2))</f>
        <v>0</v>
      </c>
      <c r="O26" s="5">
        <f>(SUMIFS('2-DATASET'!S:S,'2-DATASET'!G:G,'4-BOXSCORE_1Q'!A26,'2-DATASET'!A:A,$AA$2))</f>
        <v>0</v>
      </c>
      <c r="P26" s="5">
        <f t="shared" si="3"/>
        <v>0</v>
      </c>
      <c r="Q26" s="5">
        <f>(SUMIFS('2-DATASET'!U:U,'2-DATASET'!G:G,'4-BOXSCORE_1Q'!A26,'2-DATASET'!A:A,$AA$2))</f>
        <v>0</v>
      </c>
      <c r="R26" s="5">
        <f>(SUMIFS('2-DATASET'!V:V,'2-DATASET'!G:G,'4-BOXSCORE_1Q'!A26,'2-DATASET'!A:A,$AA$2))</f>
        <v>1</v>
      </c>
      <c r="S26" s="5">
        <f>(SUMIFS('2-DATASET'!W:W,'2-DATASET'!G:G,'4-BOXSCORE_1Q'!A26,'2-DATASET'!A:A,$AA$2))</f>
        <v>0</v>
      </c>
      <c r="T26" s="5">
        <f>(SUMIFS('2-DATASET'!X:X,'2-DATASET'!G:G,'4-BOXSCORE_1Q'!A26,'2-DATASET'!A:A,$AA$2))</f>
        <v>1</v>
      </c>
      <c r="U26" s="5">
        <f>(SUMIFS('2-DATASET'!Y:Y,'2-DATASET'!G:G,'4-BOXSCORE_1Q'!A26,'2-DATASET'!A:A,$AA$2))</f>
        <v>0</v>
      </c>
      <c r="V26" s="5">
        <f>(SUMIFS('2-DATASET'!K:K,'2-DATASET'!I:I,"Dunk",'2-DATASET'!G:G,'4-BOXSCORE_1Q'!A26,'2-DATASET'!A:A,$AA$2))/2</f>
        <v>0</v>
      </c>
      <c r="W26" s="5">
        <f>(SUMIFS('2-DATASET'!Z:Z,'2-DATASET'!G:G,'4-BOXSCORE_1Q'!A26,'2-DATASET'!A:A,$AA$2))</f>
        <v>0</v>
      </c>
      <c r="X26" s="5">
        <f>(SUMIFS('2-DATASET'!AA:AA,'2-DATASET'!G:G,'4-BOXSCORE_1Q'!A26,'2-DATASET'!A:A,$AA$2))</f>
        <v>0</v>
      </c>
      <c r="Y26" s="5">
        <f t="shared" si="4"/>
        <v>0</v>
      </c>
    </row>
    <row r="27" spans="1:25" x14ac:dyDescent="0.35">
      <c r="A27" s="3" t="s">
        <v>39</v>
      </c>
      <c r="B27" s="3" t="s">
        <v>40</v>
      </c>
      <c r="C27" s="12">
        <f>SUMIFS('2-DATASET'!AE:AE,'2-DATASET'!G:G,'4-BOXSCORE_1Q'!A27,'2-DATASET'!A:A,$AA$2)</f>
        <v>3.9930555555555552E-3</v>
      </c>
      <c r="D27" s="5">
        <f>SUMIFS('2-DATASET'!M:M,'2-DATASET'!G:G,'4-BOXSCORE_1Q'!A27,'2-DATASET'!A:A,$AA$2)</f>
        <v>2</v>
      </c>
      <c r="E27" s="5">
        <f>(SUMIFS('2-DATASET'!K:K,'2-DATASET'!K:K,2,'2-DATASET'!L:L,1,'2-DATASET'!G:G,'4-BOXSCORE_1Q'!A27,'2-DATASET'!A:A,$AA$2))/2</f>
        <v>1</v>
      </c>
      <c r="F27" s="5">
        <f>(SUMIFS('2-DATASET'!K:K,'2-DATASET'!K:K,2,'2-DATASET'!G:G,'4-BOXSCORE_1Q'!A27,'2-DATASET'!A:A,$AA$2))/2</f>
        <v>1</v>
      </c>
      <c r="G27" s="34">
        <f t="shared" si="0"/>
        <v>1</v>
      </c>
      <c r="H27" s="5">
        <f>(SUMIFS('2-DATASET'!K:K,'2-DATASET'!K:K,3,'2-DATASET'!L:L,1,'2-DATASET'!G:G,'4-BOXSCORE_1Q'!A27,'2-DATASET'!A:A,$AA$2))/3</f>
        <v>0</v>
      </c>
      <c r="I27" s="5">
        <f>(SUMIFS('2-DATASET'!K:K,'2-DATASET'!K:K,3,'2-DATASET'!G:G,'4-BOXSCORE_1Q'!A27,'2-DATASET'!A:A,$AA$2))/3</f>
        <v>0</v>
      </c>
      <c r="J27" s="34">
        <f t="shared" si="1"/>
        <v>0</v>
      </c>
      <c r="K27" s="5">
        <f>(SUMIFS('2-DATASET'!K:K,'2-DATASET'!K:K,1,'2-DATASET'!L:L,1,'2-DATASET'!G:G,'4-BOXSCORE_1Q'!A27,'2-DATASET'!A:A,$AA$2))/1</f>
        <v>0</v>
      </c>
      <c r="L27" s="5">
        <f>(SUMIFS('2-DATASET'!K:K,'2-DATASET'!K:K,1,'2-DATASET'!G:G,'4-BOXSCORE_1Q'!A27,'2-DATASET'!A:A,$AA$2))/1</f>
        <v>0</v>
      </c>
      <c r="M27" s="34">
        <f t="shared" si="2"/>
        <v>0</v>
      </c>
      <c r="N27" s="5">
        <f>(SUMIFS('2-DATASET'!T:T,'2-DATASET'!G:G,'4-BOXSCORE_1Q'!A27,'2-DATASET'!A:A,$AA$2))</f>
        <v>0</v>
      </c>
      <c r="O27" s="5">
        <f>(SUMIFS('2-DATASET'!S:S,'2-DATASET'!G:G,'4-BOXSCORE_1Q'!A27,'2-DATASET'!A:A,$AA$2))</f>
        <v>1</v>
      </c>
      <c r="P27" s="5">
        <f t="shared" si="3"/>
        <v>1</v>
      </c>
      <c r="Q27" s="5">
        <f>(SUMIFS('2-DATASET'!U:U,'2-DATASET'!G:G,'4-BOXSCORE_1Q'!A27,'2-DATASET'!A:A,$AA$2))</f>
        <v>1</v>
      </c>
      <c r="R27" s="5">
        <f>(SUMIFS('2-DATASET'!V:V,'2-DATASET'!G:G,'4-BOXSCORE_1Q'!A27,'2-DATASET'!A:A,$AA$2))</f>
        <v>1</v>
      </c>
      <c r="S27" s="5">
        <f>(SUMIFS('2-DATASET'!W:W,'2-DATASET'!G:G,'4-BOXSCORE_1Q'!A27,'2-DATASET'!A:A,$AA$2))</f>
        <v>2</v>
      </c>
      <c r="T27" s="5">
        <f>(SUMIFS('2-DATASET'!X:X,'2-DATASET'!G:G,'4-BOXSCORE_1Q'!A27,'2-DATASET'!A:A,$AA$2))</f>
        <v>0</v>
      </c>
      <c r="U27" s="5">
        <f>(SUMIFS('2-DATASET'!Y:Y,'2-DATASET'!G:G,'4-BOXSCORE_1Q'!A27,'2-DATASET'!A:A,$AA$2))</f>
        <v>0</v>
      </c>
      <c r="V27" s="5">
        <f>(SUMIFS('2-DATASET'!K:K,'2-DATASET'!I:I,"Dunk",'2-DATASET'!G:G,'4-BOXSCORE_1Q'!A27,'2-DATASET'!A:A,$AA$2))/2</f>
        <v>0</v>
      </c>
      <c r="W27" s="5">
        <f>(SUMIFS('2-DATASET'!Z:Z,'2-DATASET'!G:G,'4-BOXSCORE_1Q'!A27,'2-DATASET'!A:A,$AA$2))</f>
        <v>0</v>
      </c>
      <c r="X27" s="5">
        <f>(SUMIFS('2-DATASET'!AA:AA,'2-DATASET'!G:G,'4-BOXSCORE_1Q'!A27,'2-DATASET'!A:A,$AA$2))</f>
        <v>0</v>
      </c>
      <c r="Y27" s="5">
        <f t="shared" si="4"/>
        <v>5</v>
      </c>
    </row>
    <row r="28" spans="1:25" x14ac:dyDescent="0.35">
      <c r="A28" s="3" t="s">
        <v>41</v>
      </c>
      <c r="B28" s="3" t="s">
        <v>42</v>
      </c>
      <c r="C28" s="12">
        <f>SUMIFS('2-DATASET'!AE:AE,'2-DATASET'!G:G,'4-BOXSCORE_1Q'!A28,'2-DATASET'!A:A,$AA$2)</f>
        <v>3.9930555555555552E-3</v>
      </c>
      <c r="D28" s="5">
        <f>SUMIFS('2-DATASET'!M:M,'2-DATASET'!G:G,'4-BOXSCORE_1Q'!A28,'2-DATASET'!A:A,$AA$2)</f>
        <v>0</v>
      </c>
      <c r="E28" s="5">
        <f>(SUMIFS('2-DATASET'!K:K,'2-DATASET'!K:K,2,'2-DATASET'!L:L,1,'2-DATASET'!G:G,'4-BOXSCORE_1Q'!A28,'2-DATASET'!A:A,$AA$2))/2</f>
        <v>0</v>
      </c>
      <c r="F28" s="5">
        <f>(SUMIFS('2-DATASET'!K:K,'2-DATASET'!K:K,2,'2-DATASET'!G:G,'4-BOXSCORE_1Q'!A28,'2-DATASET'!A:A,$AA$2))/2</f>
        <v>0</v>
      </c>
      <c r="G28" s="34">
        <f t="shared" si="0"/>
        <v>0</v>
      </c>
      <c r="H28" s="5">
        <f>(SUMIFS('2-DATASET'!K:K,'2-DATASET'!K:K,3,'2-DATASET'!L:L,1,'2-DATASET'!G:G,'4-BOXSCORE_1Q'!A28,'2-DATASET'!A:A,$AA$2))/3</f>
        <v>0</v>
      </c>
      <c r="I28" s="5">
        <f>(SUMIFS('2-DATASET'!K:K,'2-DATASET'!K:K,3,'2-DATASET'!G:G,'4-BOXSCORE_1Q'!A28,'2-DATASET'!A:A,$AA$2))/3</f>
        <v>0</v>
      </c>
      <c r="J28" s="34">
        <f t="shared" si="1"/>
        <v>0</v>
      </c>
      <c r="K28" s="5">
        <f>(SUMIFS('2-DATASET'!K:K,'2-DATASET'!K:K,1,'2-DATASET'!L:L,1,'2-DATASET'!G:G,'4-BOXSCORE_1Q'!A28,'2-DATASET'!A:A,$AA$2))/1</f>
        <v>0</v>
      </c>
      <c r="L28" s="5">
        <f>(SUMIFS('2-DATASET'!K:K,'2-DATASET'!K:K,1,'2-DATASET'!G:G,'4-BOXSCORE_1Q'!A28,'2-DATASET'!A:A,$AA$2))/1</f>
        <v>0</v>
      </c>
      <c r="M28" s="34">
        <f t="shared" si="2"/>
        <v>0</v>
      </c>
      <c r="N28" s="5">
        <f>(SUMIFS('2-DATASET'!T:T,'2-DATASET'!G:G,'4-BOXSCORE_1Q'!A28,'2-DATASET'!A:A,$AA$2))</f>
        <v>0</v>
      </c>
      <c r="O28" s="5">
        <f>(SUMIFS('2-DATASET'!S:S,'2-DATASET'!G:G,'4-BOXSCORE_1Q'!A28,'2-DATASET'!A:A,$AA$2))</f>
        <v>0</v>
      </c>
      <c r="P28" s="5">
        <f t="shared" si="3"/>
        <v>0</v>
      </c>
      <c r="Q28" s="5">
        <f>(SUMIFS('2-DATASET'!U:U,'2-DATASET'!G:G,'4-BOXSCORE_1Q'!A28,'2-DATASET'!A:A,$AA$2))</f>
        <v>1</v>
      </c>
      <c r="R28" s="5">
        <f>(SUMIFS('2-DATASET'!V:V,'2-DATASET'!G:G,'4-BOXSCORE_1Q'!A28,'2-DATASET'!A:A,$AA$2))</f>
        <v>0</v>
      </c>
      <c r="S28" s="5">
        <f>(SUMIFS('2-DATASET'!W:W,'2-DATASET'!G:G,'4-BOXSCORE_1Q'!A28,'2-DATASET'!A:A,$AA$2))</f>
        <v>0</v>
      </c>
      <c r="T28" s="5">
        <f>(SUMIFS('2-DATASET'!X:X,'2-DATASET'!G:G,'4-BOXSCORE_1Q'!A28,'2-DATASET'!A:A,$AA$2))</f>
        <v>0</v>
      </c>
      <c r="U28" s="5">
        <f>(SUMIFS('2-DATASET'!Y:Y,'2-DATASET'!G:G,'4-BOXSCORE_1Q'!A28,'2-DATASET'!A:A,$AA$2))</f>
        <v>0</v>
      </c>
      <c r="V28" s="5">
        <f>(SUMIFS('2-DATASET'!K:K,'2-DATASET'!I:I,"Dunk",'2-DATASET'!G:G,'4-BOXSCORE_1Q'!A28,'2-DATASET'!A:A,$AA$2))/2</f>
        <v>0</v>
      </c>
      <c r="W28" s="5">
        <f>(SUMIFS('2-DATASET'!Z:Z,'2-DATASET'!G:G,'4-BOXSCORE_1Q'!A28,'2-DATASET'!A:A,$AA$2))</f>
        <v>0</v>
      </c>
      <c r="X28" s="5">
        <f>(SUMIFS('2-DATASET'!AA:AA,'2-DATASET'!G:G,'4-BOXSCORE_1Q'!A28,'2-DATASET'!A:A,$AA$2))</f>
        <v>0</v>
      </c>
      <c r="Y28" s="5">
        <f t="shared" si="4"/>
        <v>1</v>
      </c>
    </row>
    <row r="29" spans="1:25" x14ac:dyDescent="0.35">
      <c r="A29" s="3" t="s">
        <v>43</v>
      </c>
      <c r="B29" s="3" t="s">
        <v>44</v>
      </c>
      <c r="C29" s="12">
        <f>SUMIFS('2-DATASET'!AE:AE,'2-DATASET'!G:G,'4-BOXSCORE_1Q'!A29,'2-DATASET'!A:A,$AA$2)</f>
        <v>1.5509259259259259E-3</v>
      </c>
      <c r="D29" s="5">
        <f>SUMIFS('2-DATASET'!M:M,'2-DATASET'!G:G,'4-BOXSCORE_1Q'!A29,'2-DATASET'!A:A,$AA$2)</f>
        <v>2</v>
      </c>
      <c r="E29" s="5">
        <f>(SUMIFS('2-DATASET'!K:K,'2-DATASET'!K:K,2,'2-DATASET'!L:L,1,'2-DATASET'!G:G,'4-BOXSCORE_1Q'!A29,'2-DATASET'!A:A,$AA$2))/2</f>
        <v>1</v>
      </c>
      <c r="F29" s="5">
        <f>(SUMIFS('2-DATASET'!K:K,'2-DATASET'!K:K,2,'2-DATASET'!G:G,'4-BOXSCORE_1Q'!A29,'2-DATASET'!A:A,$AA$2))/2</f>
        <v>1</v>
      </c>
      <c r="G29" s="34">
        <f t="shared" si="0"/>
        <v>1</v>
      </c>
      <c r="H29" s="5">
        <f>(SUMIFS('2-DATASET'!K:K,'2-DATASET'!K:K,3,'2-DATASET'!L:L,1,'2-DATASET'!G:G,'4-BOXSCORE_1Q'!A29,'2-DATASET'!A:A,$AA$2))/3</f>
        <v>0</v>
      </c>
      <c r="I29" s="5">
        <f>(SUMIFS('2-DATASET'!K:K,'2-DATASET'!K:K,3,'2-DATASET'!G:G,'4-BOXSCORE_1Q'!A29,'2-DATASET'!A:A,$AA$2))/3</f>
        <v>0</v>
      </c>
      <c r="J29" s="34">
        <f t="shared" si="1"/>
        <v>0</v>
      </c>
      <c r="K29" s="5">
        <f>(SUMIFS('2-DATASET'!K:K,'2-DATASET'!K:K,1,'2-DATASET'!L:L,1,'2-DATASET'!G:G,'4-BOXSCORE_1Q'!A29,'2-DATASET'!A:A,$AA$2))/1</f>
        <v>0</v>
      </c>
      <c r="L29" s="5">
        <f>(SUMIFS('2-DATASET'!K:K,'2-DATASET'!K:K,1,'2-DATASET'!G:G,'4-BOXSCORE_1Q'!A29,'2-DATASET'!A:A,$AA$2))/1</f>
        <v>0</v>
      </c>
      <c r="M29" s="34">
        <f t="shared" si="2"/>
        <v>0</v>
      </c>
      <c r="N29" s="5">
        <f>(SUMIFS('2-DATASET'!T:T,'2-DATASET'!G:G,'4-BOXSCORE_1Q'!A29,'2-DATASET'!A:A,$AA$2))</f>
        <v>0</v>
      </c>
      <c r="O29" s="5">
        <f>(SUMIFS('2-DATASET'!S:S,'2-DATASET'!G:G,'4-BOXSCORE_1Q'!A29,'2-DATASET'!A:A,$AA$2))</f>
        <v>0</v>
      </c>
      <c r="P29" s="5">
        <f t="shared" si="3"/>
        <v>0</v>
      </c>
      <c r="Q29" s="5">
        <f>(SUMIFS('2-DATASET'!U:U,'2-DATASET'!G:G,'4-BOXSCORE_1Q'!A29,'2-DATASET'!A:A,$AA$2))</f>
        <v>0</v>
      </c>
      <c r="R29" s="5">
        <f>(SUMIFS('2-DATASET'!V:V,'2-DATASET'!G:G,'4-BOXSCORE_1Q'!A29,'2-DATASET'!A:A,$AA$2))</f>
        <v>0</v>
      </c>
      <c r="S29" s="5">
        <f>(SUMIFS('2-DATASET'!W:W,'2-DATASET'!G:G,'4-BOXSCORE_1Q'!A29,'2-DATASET'!A:A,$AA$2))</f>
        <v>1</v>
      </c>
      <c r="T29" s="5">
        <f>(SUMIFS('2-DATASET'!X:X,'2-DATASET'!G:G,'4-BOXSCORE_1Q'!A29,'2-DATASET'!A:A,$AA$2))</f>
        <v>1</v>
      </c>
      <c r="U29" s="5">
        <f>(SUMIFS('2-DATASET'!Y:Y,'2-DATASET'!G:G,'4-BOXSCORE_1Q'!A29,'2-DATASET'!A:A,$AA$2))</f>
        <v>0</v>
      </c>
      <c r="V29" s="5">
        <f>(SUMIFS('2-DATASET'!K:K,'2-DATASET'!I:I,"Dunk",'2-DATASET'!G:G,'4-BOXSCORE_1Q'!A29,'2-DATASET'!A:A,$AA$2))/2</f>
        <v>0</v>
      </c>
      <c r="W29" s="5">
        <f>(SUMIFS('2-DATASET'!Z:Z,'2-DATASET'!G:G,'4-BOXSCORE_1Q'!A29,'2-DATASET'!A:A,$AA$2))</f>
        <v>0</v>
      </c>
      <c r="X29" s="5">
        <f>(SUMIFS('2-DATASET'!AA:AA,'2-DATASET'!G:G,'4-BOXSCORE_1Q'!A29,'2-DATASET'!A:A,$AA$2))</f>
        <v>0</v>
      </c>
      <c r="Y29" s="5">
        <f t="shared" si="4"/>
        <v>4</v>
      </c>
    </row>
    <row r="30" spans="1:25" x14ac:dyDescent="0.35">
      <c r="A30" s="26" t="s">
        <v>121</v>
      </c>
      <c r="B30" s="26" t="s">
        <v>124</v>
      </c>
      <c r="C30" s="37"/>
      <c r="D30" s="36">
        <f>SUMIFS('2-DATASET'!M:M,'2-DATASET'!G:G,'4-BOXSCORE_1Q'!A30,'2-DATASET'!A:A,$AA$2)</f>
        <v>0</v>
      </c>
      <c r="E30" s="36">
        <f>(SUMIFS('2-DATASET'!K:K,'2-DATASET'!K:K,2,'2-DATASET'!L:L,1,'2-DATASET'!G:G,'4-BOXSCORE_1Q'!A30,'2-DATASET'!A:A,$AA$2))/2</f>
        <v>0</v>
      </c>
      <c r="F30" s="36">
        <f>(SUMIFS('2-DATASET'!K:K,'2-DATASET'!K:K,2,'2-DATASET'!G:G,'4-BOXSCORE_1Q'!A30,'2-DATASET'!A:A,$AA$2))/2</f>
        <v>0</v>
      </c>
      <c r="G30" s="38">
        <f t="shared" si="0"/>
        <v>0</v>
      </c>
      <c r="H30" s="36">
        <f>(SUMIFS('2-DATASET'!K:K,'2-DATASET'!K:K,3,'2-DATASET'!L:L,1,'2-DATASET'!G:G,'4-BOXSCORE_1Q'!A30,'2-DATASET'!A:A,$AA$2))/3</f>
        <v>0</v>
      </c>
      <c r="I30" s="36">
        <f>(SUMIFS('2-DATASET'!K:K,'2-DATASET'!K:K,3,'2-DATASET'!G:G,'4-BOXSCORE_1Q'!A30,'2-DATASET'!A:A,$AA$2))/3</f>
        <v>0</v>
      </c>
      <c r="J30" s="38">
        <f t="shared" si="1"/>
        <v>0</v>
      </c>
      <c r="K30" s="36">
        <f>(SUMIFS('2-DATASET'!K:K,'2-DATASET'!K:K,1,'2-DATASET'!L:L,1,'2-DATASET'!G:G,'4-BOXSCORE_1Q'!A30,'2-DATASET'!A:A,$AA$2))/1</f>
        <v>0</v>
      </c>
      <c r="L30" s="36">
        <f>(SUMIFS('2-DATASET'!K:K,'2-DATASET'!K:K,1,'2-DATASET'!G:G,'4-BOXSCORE_1Q'!A30,'2-DATASET'!A:A,$AA$2))/1</f>
        <v>0</v>
      </c>
      <c r="M30" s="38">
        <f t="shared" si="2"/>
        <v>0</v>
      </c>
      <c r="N30" s="36">
        <f>(SUMIFS('2-DATASET'!T:T,'2-DATASET'!G:G,'4-BOXSCORE_1Q'!A30,'2-DATASET'!A:A,$AA$2))</f>
        <v>0</v>
      </c>
      <c r="O30" s="36">
        <f>(SUMIFS('2-DATASET'!S:S,'2-DATASET'!G:G,'4-BOXSCORE_1Q'!A30,'2-DATASET'!A:A,$AA$2))</f>
        <v>1</v>
      </c>
      <c r="P30" s="36">
        <f t="shared" si="3"/>
        <v>1</v>
      </c>
      <c r="Q30" s="36">
        <f>(SUMIFS('2-DATASET'!U:U,'2-DATASET'!G:G,'4-BOXSCORE_1Q'!A30,'2-DATASET'!A:A,$AA$2))</f>
        <v>0</v>
      </c>
      <c r="R30" s="36">
        <f>(SUMIFS('2-DATASET'!V:V,'2-DATASET'!G:G,'4-BOXSCORE_1Q'!A30,'2-DATASET'!A:A,$AA$2))</f>
        <v>0</v>
      </c>
      <c r="S30" s="36">
        <f>(SUMIFS('2-DATASET'!W:W,'2-DATASET'!G:G,'4-BOXSCORE_1Q'!A30,'2-DATASET'!A:A,$AA$2))</f>
        <v>0</v>
      </c>
      <c r="T30" s="36">
        <f>(SUMIFS('2-DATASET'!X:X,'2-DATASET'!G:G,'4-BOXSCORE_1Q'!A30,'2-DATASET'!A:A,$AA$2))</f>
        <v>0</v>
      </c>
      <c r="U30" s="36">
        <f>(SUMIFS('2-DATASET'!Y:Y,'2-DATASET'!G:G,'4-BOXSCORE_1Q'!A30,'2-DATASET'!A:A,$AA$2))</f>
        <v>0</v>
      </c>
      <c r="V30" s="36">
        <f>(SUMIFS('2-DATASET'!K:K,'2-DATASET'!I:I,"Dunk",'2-DATASET'!G:G,'4-BOXSCORE_1Q'!A30,'2-DATASET'!A:A,$AA$2))/2</f>
        <v>0</v>
      </c>
      <c r="W30" s="36">
        <f>(SUMIFS('2-DATASET'!Z:Z,'2-DATASET'!G:G,'4-BOXSCORE_1Q'!A30,'2-DATASET'!A:A,$AA$2))</f>
        <v>0</v>
      </c>
      <c r="X30" s="36">
        <f>(SUMIFS('2-DATASET'!AA:AA,'2-DATASET'!G:G,'4-BOXSCORE_1Q'!A30,'2-DATASET'!A:A,$AA$2))</f>
        <v>0</v>
      </c>
      <c r="Y30" s="36">
        <f t="shared" si="4"/>
        <v>1</v>
      </c>
    </row>
    <row r="31" spans="1:25" s="4" customFormat="1" x14ac:dyDescent="0.35">
      <c r="A31" s="26"/>
      <c r="B31" s="26" t="s">
        <v>162</v>
      </c>
      <c r="C31" s="27">
        <f>SUM(C18:C29)</f>
        <v>3.4722222222222224E-2</v>
      </c>
      <c r="D31" s="26">
        <f>SUM(D18:D30)</f>
        <v>27</v>
      </c>
      <c r="E31" s="26">
        <f>SUM(E18:E30)</f>
        <v>9</v>
      </c>
      <c r="F31" s="26">
        <f>SUM(F18:F30)</f>
        <v>12</v>
      </c>
      <c r="G31" s="40">
        <f t="shared" si="0"/>
        <v>0.75</v>
      </c>
      <c r="H31" s="26">
        <f>SUM(H18:H30)</f>
        <v>0</v>
      </c>
      <c r="I31" s="26">
        <f>SUM(I18:I30)</f>
        <v>2</v>
      </c>
      <c r="J31" s="40">
        <f t="shared" si="1"/>
        <v>0</v>
      </c>
      <c r="K31" s="26">
        <f>SUM(K18:K30)</f>
        <v>9</v>
      </c>
      <c r="L31" s="26">
        <f>SUM(L18:L30)</f>
        <v>11</v>
      </c>
      <c r="M31" s="40">
        <f t="shared" si="2"/>
        <v>0.81818181818181823</v>
      </c>
      <c r="N31" s="26">
        <f>SUM(N18:N30)</f>
        <v>2</v>
      </c>
      <c r="O31" s="26">
        <f>SUM(O18:O30)</f>
        <v>3</v>
      </c>
      <c r="P31" s="26">
        <f t="shared" si="3"/>
        <v>5</v>
      </c>
      <c r="Q31" s="26">
        <f t="shared" ref="Q31:X31" si="6">SUM(Q18:Q30)</f>
        <v>5</v>
      </c>
      <c r="R31" s="26">
        <f t="shared" si="6"/>
        <v>4</v>
      </c>
      <c r="S31" s="26">
        <f t="shared" si="6"/>
        <v>4</v>
      </c>
      <c r="T31" s="26">
        <f t="shared" si="6"/>
        <v>2</v>
      </c>
      <c r="U31" s="26">
        <f t="shared" si="6"/>
        <v>1</v>
      </c>
      <c r="V31" s="26">
        <f t="shared" si="6"/>
        <v>1</v>
      </c>
      <c r="W31" s="26">
        <f t="shared" si="6"/>
        <v>7</v>
      </c>
      <c r="X31" s="26">
        <f t="shared" si="6"/>
        <v>7</v>
      </c>
      <c r="Y31" s="26">
        <f>D31+Q31+P31+S31+T31+X31-((F31-E31)+(I31-H31)+(L31-K31)+R31+U31+W31)</f>
        <v>31</v>
      </c>
    </row>
    <row r="32" spans="1:25" x14ac:dyDescent="0.35">
      <c r="C32" s="4"/>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B1965-107D-4559-957C-CD42D49147CD}">
  <dimension ref="A1:Y32"/>
  <sheetViews>
    <sheetView zoomScale="57" workbookViewId="0">
      <selection sqref="A1:XFD1048576"/>
    </sheetView>
  </sheetViews>
  <sheetFormatPr baseColWidth="10" defaultRowHeight="14.5" x14ac:dyDescent="0.35"/>
  <cols>
    <col min="1" max="1" width="14.81640625" style="5" customWidth="1"/>
    <col min="2" max="2" width="20.81640625" style="5" customWidth="1"/>
    <col min="3" max="3" width="18.1796875" style="5" customWidth="1"/>
    <col min="4" max="4" width="21.54296875" style="5" bestFit="1" customWidth="1"/>
    <col min="5" max="16384" width="10.90625" style="5"/>
  </cols>
  <sheetData>
    <row r="1" spans="1:25" s="4" customFormat="1" x14ac:dyDescent="0.35">
      <c r="A1" s="35" t="s">
        <v>0</v>
      </c>
      <c r="B1" s="35" t="s">
        <v>3</v>
      </c>
      <c r="C1" s="35" t="s">
        <v>139</v>
      </c>
      <c r="D1" s="35" t="s">
        <v>140</v>
      </c>
      <c r="E1" s="35" t="s">
        <v>141</v>
      </c>
      <c r="F1" s="35" t="s">
        <v>142</v>
      </c>
      <c r="G1" s="35" t="s">
        <v>143</v>
      </c>
      <c r="H1" s="35" t="s">
        <v>144</v>
      </c>
      <c r="I1" s="35" t="s">
        <v>145</v>
      </c>
      <c r="J1" s="35" t="s">
        <v>146</v>
      </c>
      <c r="K1" s="35" t="s">
        <v>147</v>
      </c>
      <c r="L1" s="35" t="s">
        <v>148</v>
      </c>
      <c r="M1" s="35" t="s">
        <v>149</v>
      </c>
      <c r="N1" s="35" t="s">
        <v>150</v>
      </c>
      <c r="O1" s="35" t="s">
        <v>151</v>
      </c>
      <c r="P1" s="35" t="s">
        <v>152</v>
      </c>
      <c r="Q1" s="35" t="s">
        <v>153</v>
      </c>
      <c r="R1" s="35" t="s">
        <v>155</v>
      </c>
      <c r="S1" s="35" t="s">
        <v>154</v>
      </c>
      <c r="T1" s="35" t="s">
        <v>156</v>
      </c>
      <c r="U1" s="35" t="s">
        <v>157</v>
      </c>
      <c r="V1" s="35" t="s">
        <v>158</v>
      </c>
      <c r="W1" s="35" t="s">
        <v>159</v>
      </c>
      <c r="X1" s="35" t="s">
        <v>160</v>
      </c>
      <c r="Y1" s="35" t="s">
        <v>161</v>
      </c>
    </row>
    <row r="2" spans="1:25" x14ac:dyDescent="0.35">
      <c r="A2" s="2" t="s">
        <v>27</v>
      </c>
      <c r="B2" s="2" t="s">
        <v>28</v>
      </c>
      <c r="C2" s="11">
        <f>SUMIF('2-DATASET'!G:G,'5-BOXSCORE_FULL_GAME'!A2,'2-DATASET'!AE:AE)</f>
        <v>1.4004629629629627E-3</v>
      </c>
      <c r="D2" s="5">
        <f>SUMIFS('2-DATASET'!M:M,'2-DATASET'!G:G,'5-BOXSCORE_FULL_GAME'!A2)</f>
        <v>0</v>
      </c>
      <c r="E2" s="5">
        <f>(SUMIFS('2-DATASET'!K:K,'2-DATASET'!K:K,2,'2-DATASET'!L:L,1,'2-DATASET'!G:G,'5-BOXSCORE_FULL_GAME'!A2))/2</f>
        <v>0</v>
      </c>
      <c r="F2" s="5">
        <f>(SUMIFS('2-DATASET'!K:K,'2-DATASET'!K:K,2,'2-DATASET'!G:G,'5-BOXSCORE_FULL_GAME'!A2))/2</f>
        <v>0</v>
      </c>
      <c r="G2" s="34">
        <f>IF(F2=0,0,E2/F2)</f>
        <v>0</v>
      </c>
      <c r="H2" s="5">
        <f>(SUMIFS('2-DATASET'!K:K,'2-DATASET'!K:K,3,'2-DATASET'!L:L,1,'2-DATASET'!G:G,'5-BOXSCORE_FULL_GAME'!A2))/3</f>
        <v>0</v>
      </c>
      <c r="I2" s="5">
        <f>(SUMIFS('2-DATASET'!K:K,'2-DATASET'!K:K,3,'2-DATASET'!G:G,'5-BOXSCORE_FULL_GAME'!A2))/3</f>
        <v>0</v>
      </c>
      <c r="J2" s="34">
        <f>IF(I2=0,0,H2/I2)</f>
        <v>0</v>
      </c>
      <c r="K2" s="5">
        <f>(SUMIFS('2-DATASET'!K:K,'2-DATASET'!K:K,1,'2-DATASET'!L:L,1,'2-DATASET'!G:G,'5-BOXSCORE_FULL_GAME'!A2))/1</f>
        <v>0</v>
      </c>
      <c r="L2" s="5">
        <f>(SUMIFS('2-DATASET'!K:K,'2-DATASET'!K:K,1,'2-DATASET'!G:G,'5-BOXSCORE_FULL_GAME'!A2))/1</f>
        <v>0</v>
      </c>
      <c r="M2" s="34">
        <f>IF(L2=0,0,K2/L2)</f>
        <v>0</v>
      </c>
      <c r="N2" s="5">
        <f>(SUMIFS('2-DATASET'!T:T,'2-DATASET'!G:G,'5-BOXSCORE_FULL_GAME'!A2))</f>
        <v>1</v>
      </c>
      <c r="O2" s="5">
        <f>(SUMIFS('2-DATASET'!S:S,'2-DATASET'!G:G,'5-BOXSCORE_FULL_GAME'!A2))</f>
        <v>0</v>
      </c>
      <c r="P2" s="5">
        <f>N2+O2</f>
        <v>1</v>
      </c>
      <c r="Q2" s="5">
        <f>(SUMIFS('2-DATASET'!U:U,'2-DATASET'!G:G,'5-BOXSCORE_FULL_GAME'!A2))</f>
        <v>0</v>
      </c>
      <c r="R2" s="5">
        <f>(SUMIFS('2-DATASET'!V:V,'2-DATASET'!G:G,'5-BOXSCORE_FULL_GAME'!A2))</f>
        <v>0</v>
      </c>
      <c r="S2" s="5">
        <f>(SUMIFS('2-DATASET'!W:W,'2-DATASET'!G:G,'5-BOXSCORE_FULL_GAME'!A2))</f>
        <v>0</v>
      </c>
      <c r="T2" s="5">
        <f>(SUMIFS('2-DATASET'!X:X,'2-DATASET'!G:G,'5-BOXSCORE_FULL_GAME'!A2))</f>
        <v>0</v>
      </c>
      <c r="U2" s="5">
        <f>(SUMIFS('2-DATASET'!Y:Y,'2-DATASET'!G:G,'5-BOXSCORE_FULL_GAME'!A2))</f>
        <v>0</v>
      </c>
      <c r="V2" s="5">
        <f>(SUMIFS('2-DATASET'!K:K,'2-DATASET'!I:I,"Dunk",'2-DATASET'!G:G,'5-BOXSCORE_FULL_GAME'!A2))/2</f>
        <v>0</v>
      </c>
      <c r="W2" s="5">
        <f>(SUMIFS('2-DATASET'!Z:Z,'2-DATASET'!G:G,'5-BOXSCORE_FULL_GAME'!A2))</f>
        <v>2</v>
      </c>
      <c r="X2" s="5">
        <f>(SUMIFS('2-DATASET'!AA:AA,'2-DATASET'!G:G,'5-BOXSCORE_FULL_GAME'!A2))</f>
        <v>0</v>
      </c>
      <c r="Y2" s="5">
        <f>D2+Q2+P2+S2+T2+X2-((F2-E2)+(I2-H2)+(L2-K2)+R2+U2+W2)</f>
        <v>-1</v>
      </c>
    </row>
    <row r="3" spans="1:25" x14ac:dyDescent="0.35">
      <c r="A3" s="2" t="s">
        <v>73</v>
      </c>
      <c r="B3" s="2" t="s">
        <v>6</v>
      </c>
      <c r="C3" s="11">
        <f>SUMIF('2-DATASET'!G:G,'5-BOXSCORE_FULL_GAME'!A3,'2-DATASET'!AE:AE)</f>
        <v>2.6388888888888842E-3</v>
      </c>
      <c r="D3" s="5">
        <f>SUMIFS('2-DATASET'!M:M,'2-DATASET'!G:G,'5-BOXSCORE_FULL_GAME'!A3)</f>
        <v>5</v>
      </c>
      <c r="E3" s="5">
        <f>(SUMIFS('2-DATASET'!K:K,'2-DATASET'!K:K,2,'2-DATASET'!L:L,1,'2-DATASET'!G:G,'5-BOXSCORE_FULL_GAME'!A3))/2</f>
        <v>0</v>
      </c>
      <c r="F3" s="5">
        <f>(SUMIFS('2-DATASET'!K:K,'2-DATASET'!K:K,2,'2-DATASET'!G:G,'5-BOXSCORE_FULL_GAME'!A3))/2</f>
        <v>0</v>
      </c>
      <c r="G3" s="34">
        <f t="shared" ref="G3:G31" si="0">IF(F3=0,0,E3/F3)</f>
        <v>0</v>
      </c>
      <c r="H3" s="5">
        <f>(SUMIFS('2-DATASET'!K:K,'2-DATASET'!K:K,3,'2-DATASET'!L:L,1,'2-DATASET'!G:G,'5-BOXSCORE_FULL_GAME'!A3))/3</f>
        <v>1</v>
      </c>
      <c r="I3" s="5">
        <f>(SUMIFS('2-DATASET'!K:K,'2-DATASET'!K:K,3,'2-DATASET'!G:G,'5-BOXSCORE_FULL_GAME'!A3))/3</f>
        <v>2</v>
      </c>
      <c r="J3" s="34">
        <f t="shared" ref="J3:J31" si="1">IF(I3=0,0,H3/I3)</f>
        <v>0.5</v>
      </c>
      <c r="K3" s="5">
        <f>(SUMIFS('2-DATASET'!K:K,'2-DATASET'!K:K,1,'2-DATASET'!L:L,1,'2-DATASET'!G:G,'5-BOXSCORE_FULL_GAME'!A3))/1</f>
        <v>2</v>
      </c>
      <c r="L3" s="5">
        <f>(SUMIFS('2-DATASET'!K:K,'2-DATASET'!K:K,1,'2-DATASET'!G:G,'5-BOXSCORE_FULL_GAME'!A3))/1</f>
        <v>2</v>
      </c>
      <c r="M3" s="34">
        <f t="shared" ref="M3:M31" si="2">IF(L3=0,0,K3/L3)</f>
        <v>1</v>
      </c>
      <c r="N3" s="5">
        <f>(SUMIFS('2-DATASET'!T:T,'2-DATASET'!G:G,'5-BOXSCORE_FULL_GAME'!A3))</f>
        <v>0</v>
      </c>
      <c r="O3" s="5">
        <f>(SUMIFS('2-DATASET'!S:S,'2-DATASET'!G:G,'5-BOXSCORE_FULL_GAME'!A3))</f>
        <v>0</v>
      </c>
      <c r="P3" s="5">
        <f t="shared" ref="P3:P31" si="3">N3+O3</f>
        <v>0</v>
      </c>
      <c r="Q3" s="5">
        <f>(SUMIFS('2-DATASET'!U:U,'2-DATASET'!G:G,'5-BOXSCORE_FULL_GAME'!A3))</f>
        <v>2</v>
      </c>
      <c r="R3" s="5">
        <f>(SUMIFS('2-DATASET'!V:V,'2-DATASET'!G:G,'5-BOXSCORE_FULL_GAME'!A3))</f>
        <v>0</v>
      </c>
      <c r="S3" s="5">
        <f>(SUMIFS('2-DATASET'!W:W,'2-DATASET'!G:G,'5-BOXSCORE_FULL_GAME'!A3))</f>
        <v>0</v>
      </c>
      <c r="T3" s="5">
        <f>(SUMIFS('2-DATASET'!X:X,'2-DATASET'!G:G,'5-BOXSCORE_FULL_GAME'!A3))</f>
        <v>0</v>
      </c>
      <c r="U3" s="5">
        <f>(SUMIFS('2-DATASET'!Y:Y,'2-DATASET'!G:G,'5-BOXSCORE_FULL_GAME'!A3))</f>
        <v>0</v>
      </c>
      <c r="V3" s="5">
        <f>(SUMIFS('2-DATASET'!K:K,'2-DATASET'!I:I,"Dunk",'2-DATASET'!G:G,'5-BOXSCORE_FULL_GAME'!A3))/2</f>
        <v>0</v>
      </c>
      <c r="W3" s="5">
        <f>(SUMIFS('2-DATASET'!Z:Z,'2-DATASET'!G:G,'5-BOXSCORE_FULL_GAME'!A3))</f>
        <v>2</v>
      </c>
      <c r="X3" s="5">
        <f>(SUMIFS('2-DATASET'!AA:AA,'2-DATASET'!G:G,'5-BOXSCORE_FULL_GAME'!A3))</f>
        <v>1</v>
      </c>
      <c r="Y3" s="5">
        <f t="shared" ref="Y3:Y31" si="4">D3+Q3+P3+S3+T3+X3-((F3-E3)+(I3-H3)+(L3-K3)+R3+U3+W3)</f>
        <v>5</v>
      </c>
    </row>
    <row r="4" spans="1:25" x14ac:dyDescent="0.35">
      <c r="A4" s="2" t="s">
        <v>7</v>
      </c>
      <c r="B4" s="2" t="s">
        <v>8</v>
      </c>
      <c r="C4" s="11">
        <f>SUMIF('2-DATASET'!G:G,'5-BOXSCORE_FULL_GAME'!A4,'2-DATASET'!AE:AE)</f>
        <v>3.7615740740740695E-3</v>
      </c>
      <c r="D4" s="5">
        <f>SUMIFS('2-DATASET'!M:M,'2-DATASET'!G:G,'5-BOXSCORE_FULL_GAME'!A4)</f>
        <v>5</v>
      </c>
      <c r="E4" s="5">
        <f>(SUMIFS('2-DATASET'!K:K,'2-DATASET'!K:K,2,'2-DATASET'!L:L,1,'2-DATASET'!G:G,'5-BOXSCORE_FULL_GAME'!A4))/2</f>
        <v>1</v>
      </c>
      <c r="F4" s="5">
        <f>(SUMIFS('2-DATASET'!K:K,'2-DATASET'!K:K,2,'2-DATASET'!G:G,'5-BOXSCORE_FULL_GAME'!A4))/2</f>
        <v>1</v>
      </c>
      <c r="G4" s="34">
        <f t="shared" si="0"/>
        <v>1</v>
      </c>
      <c r="H4" s="5">
        <f>(SUMIFS('2-DATASET'!K:K,'2-DATASET'!K:K,3,'2-DATASET'!L:L,1,'2-DATASET'!G:G,'5-BOXSCORE_FULL_GAME'!A4))/3</f>
        <v>1</v>
      </c>
      <c r="I4" s="5">
        <f>(SUMIFS('2-DATASET'!K:K,'2-DATASET'!K:K,3,'2-DATASET'!G:G,'5-BOXSCORE_FULL_GAME'!A4))/3</f>
        <v>1</v>
      </c>
      <c r="J4" s="34">
        <f t="shared" si="1"/>
        <v>1</v>
      </c>
      <c r="K4" s="5">
        <f>(SUMIFS('2-DATASET'!K:K,'2-DATASET'!K:K,1,'2-DATASET'!L:L,1,'2-DATASET'!G:G,'5-BOXSCORE_FULL_GAME'!A4))/1</f>
        <v>0</v>
      </c>
      <c r="L4" s="5">
        <f>(SUMIFS('2-DATASET'!K:K,'2-DATASET'!K:K,1,'2-DATASET'!G:G,'5-BOXSCORE_FULL_GAME'!A4))/1</f>
        <v>0</v>
      </c>
      <c r="M4" s="34">
        <f t="shared" si="2"/>
        <v>0</v>
      </c>
      <c r="N4" s="5">
        <f>(SUMIFS('2-DATASET'!T:T,'2-DATASET'!G:G,'5-BOXSCORE_FULL_GAME'!A4))</f>
        <v>1</v>
      </c>
      <c r="O4" s="5">
        <f>(SUMIFS('2-DATASET'!S:S,'2-DATASET'!G:G,'5-BOXSCORE_FULL_GAME'!A4))</f>
        <v>0</v>
      </c>
      <c r="P4" s="5">
        <f t="shared" si="3"/>
        <v>1</v>
      </c>
      <c r="Q4" s="5">
        <f>(SUMIFS('2-DATASET'!U:U,'2-DATASET'!G:G,'5-BOXSCORE_FULL_GAME'!A4))</f>
        <v>0</v>
      </c>
      <c r="R4" s="5">
        <f>(SUMIFS('2-DATASET'!V:V,'2-DATASET'!G:G,'5-BOXSCORE_FULL_GAME'!A4))</f>
        <v>0</v>
      </c>
      <c r="S4" s="5">
        <f>(SUMIFS('2-DATASET'!W:W,'2-DATASET'!G:G,'5-BOXSCORE_FULL_GAME'!A4))</f>
        <v>0</v>
      </c>
      <c r="T4" s="5">
        <f>(SUMIFS('2-DATASET'!X:X,'2-DATASET'!G:G,'5-BOXSCORE_FULL_GAME'!A4))</f>
        <v>0</v>
      </c>
      <c r="U4" s="5">
        <f>(SUMIFS('2-DATASET'!Y:Y,'2-DATASET'!G:G,'5-BOXSCORE_FULL_GAME'!A4))</f>
        <v>0</v>
      </c>
      <c r="V4" s="5">
        <f>(SUMIFS('2-DATASET'!K:K,'2-DATASET'!I:I,"Dunk",'2-DATASET'!G:G,'5-BOXSCORE_FULL_GAME'!A4))/2</f>
        <v>0</v>
      </c>
      <c r="W4" s="5">
        <f>(SUMIFS('2-DATASET'!Z:Z,'2-DATASET'!G:G,'5-BOXSCORE_FULL_GAME'!A4))</f>
        <v>0</v>
      </c>
      <c r="X4" s="5">
        <f>(SUMIFS('2-DATASET'!AA:AA,'2-DATASET'!G:G,'5-BOXSCORE_FULL_GAME'!A4))</f>
        <v>1</v>
      </c>
      <c r="Y4" s="5">
        <f t="shared" si="4"/>
        <v>7</v>
      </c>
    </row>
    <row r="5" spans="1:25" s="44" customFormat="1" x14ac:dyDescent="0.35">
      <c r="A5" s="21" t="s">
        <v>9</v>
      </c>
      <c r="B5" s="21" t="s">
        <v>32</v>
      </c>
      <c r="C5" s="23">
        <f>SUMIF('2-DATASET'!G:G,'5-BOXSCORE_FULL_GAME'!A5,'2-DATASET'!AE:AE)</f>
        <v>2.4016203703703703E-2</v>
      </c>
      <c r="D5" s="44">
        <f>SUMIFS('2-DATASET'!M:M,'2-DATASET'!G:G,'5-BOXSCORE_FULL_GAME'!A5)</f>
        <v>2</v>
      </c>
      <c r="E5" s="44">
        <f>(SUMIFS('2-DATASET'!K:K,'2-DATASET'!K:K,2,'2-DATASET'!L:L,1,'2-DATASET'!G:G,'5-BOXSCORE_FULL_GAME'!A5))/2</f>
        <v>1</v>
      </c>
      <c r="F5" s="44">
        <f>(SUMIFS('2-DATASET'!K:K,'2-DATASET'!K:K,2,'2-DATASET'!G:G,'5-BOXSCORE_FULL_GAME'!A5))/2</f>
        <v>2</v>
      </c>
      <c r="G5" s="45">
        <f t="shared" si="0"/>
        <v>0.5</v>
      </c>
      <c r="H5" s="44">
        <f>(SUMIFS('2-DATASET'!K:K,'2-DATASET'!K:K,3,'2-DATASET'!L:L,1,'2-DATASET'!G:G,'5-BOXSCORE_FULL_GAME'!A5))/3</f>
        <v>0</v>
      </c>
      <c r="I5" s="44">
        <f>(SUMIFS('2-DATASET'!K:K,'2-DATASET'!K:K,3,'2-DATASET'!G:G,'5-BOXSCORE_FULL_GAME'!A5))/3</f>
        <v>0</v>
      </c>
      <c r="J5" s="45">
        <f t="shared" si="1"/>
        <v>0</v>
      </c>
      <c r="K5" s="44">
        <f>(SUMIFS('2-DATASET'!K:K,'2-DATASET'!K:K,1,'2-DATASET'!L:L,1,'2-DATASET'!G:G,'5-BOXSCORE_FULL_GAME'!A5))/1</f>
        <v>0</v>
      </c>
      <c r="L5" s="44">
        <f>(SUMIFS('2-DATASET'!K:K,'2-DATASET'!K:K,1,'2-DATASET'!G:G,'5-BOXSCORE_FULL_GAME'!A5))/1</f>
        <v>0</v>
      </c>
      <c r="M5" s="45">
        <f t="shared" si="2"/>
        <v>0</v>
      </c>
      <c r="N5" s="44">
        <f>(SUMIFS('2-DATASET'!T:T,'2-DATASET'!G:G,'5-BOXSCORE_FULL_GAME'!A5))</f>
        <v>0</v>
      </c>
      <c r="O5" s="44">
        <f>(SUMIFS('2-DATASET'!S:S,'2-DATASET'!G:G,'5-BOXSCORE_FULL_GAME'!A5))</f>
        <v>0</v>
      </c>
      <c r="P5" s="44">
        <f t="shared" si="3"/>
        <v>0</v>
      </c>
      <c r="Q5" s="44">
        <f>(SUMIFS('2-DATASET'!U:U,'2-DATASET'!G:G,'5-BOXSCORE_FULL_GAME'!A5))</f>
        <v>0</v>
      </c>
      <c r="R5" s="44">
        <f>(SUMIFS('2-DATASET'!V:V,'2-DATASET'!G:G,'5-BOXSCORE_FULL_GAME'!A5))</f>
        <v>1</v>
      </c>
      <c r="S5" s="44">
        <f>(SUMIFS('2-DATASET'!W:W,'2-DATASET'!G:G,'5-BOXSCORE_FULL_GAME'!A5))</f>
        <v>0</v>
      </c>
      <c r="T5" s="44">
        <f>(SUMIFS('2-DATASET'!X:X,'2-DATASET'!G:G,'5-BOXSCORE_FULL_GAME'!A5))</f>
        <v>0</v>
      </c>
      <c r="U5" s="44">
        <f>(SUMIFS('2-DATASET'!Y:Y,'2-DATASET'!G:G,'5-BOXSCORE_FULL_GAME'!A5))</f>
        <v>1</v>
      </c>
      <c r="V5" s="44">
        <f>(SUMIFS('2-DATASET'!K:K,'2-DATASET'!I:I,"Dunk",'2-DATASET'!G:G,'5-BOXSCORE_FULL_GAME'!A5))/2</f>
        <v>0</v>
      </c>
      <c r="W5" s="44">
        <f>(SUMIFS('2-DATASET'!Z:Z,'2-DATASET'!G:G,'5-BOXSCORE_FULL_GAME'!A5))</f>
        <v>0</v>
      </c>
      <c r="X5" s="44">
        <f>(SUMIFS('2-DATASET'!AA:AA,'2-DATASET'!G:G,'5-BOXSCORE_FULL_GAME'!A5))</f>
        <v>0</v>
      </c>
      <c r="Y5" s="44">
        <f t="shared" si="4"/>
        <v>-1</v>
      </c>
    </row>
    <row r="6" spans="1:25" s="44" customFormat="1" x14ac:dyDescent="0.35">
      <c r="A6" s="21" t="s">
        <v>11</v>
      </c>
      <c r="B6" s="21" t="s">
        <v>33</v>
      </c>
      <c r="C6" s="23">
        <f>SUMIF('2-DATASET'!G:G,'5-BOXSCORE_FULL_GAME'!A6,'2-DATASET'!AE:AE)</f>
        <v>2.5671296296296289E-2</v>
      </c>
      <c r="D6" s="44">
        <f>SUMIFS('2-DATASET'!M:M,'2-DATASET'!G:G,'5-BOXSCORE_FULL_GAME'!A6)</f>
        <v>0</v>
      </c>
      <c r="E6" s="44">
        <f>(SUMIFS('2-DATASET'!K:K,'2-DATASET'!K:K,2,'2-DATASET'!L:L,1,'2-DATASET'!G:G,'5-BOXSCORE_FULL_GAME'!A6))/2</f>
        <v>0</v>
      </c>
      <c r="F6" s="44">
        <f>(SUMIFS('2-DATASET'!K:K,'2-DATASET'!K:K,2,'2-DATASET'!G:G,'5-BOXSCORE_FULL_GAME'!A6))/2</f>
        <v>1</v>
      </c>
      <c r="G6" s="45">
        <f t="shared" si="0"/>
        <v>0</v>
      </c>
      <c r="H6" s="44">
        <f>(SUMIFS('2-DATASET'!K:K,'2-DATASET'!K:K,3,'2-DATASET'!L:L,1,'2-DATASET'!G:G,'5-BOXSCORE_FULL_GAME'!A6))/3</f>
        <v>0</v>
      </c>
      <c r="I6" s="44">
        <f>(SUMIFS('2-DATASET'!K:K,'2-DATASET'!K:K,3,'2-DATASET'!G:G,'5-BOXSCORE_FULL_GAME'!A6))/3</f>
        <v>1</v>
      </c>
      <c r="J6" s="45">
        <f t="shared" si="1"/>
        <v>0</v>
      </c>
      <c r="K6" s="44">
        <f>(SUMIFS('2-DATASET'!K:K,'2-DATASET'!K:K,1,'2-DATASET'!L:L,1,'2-DATASET'!G:G,'5-BOXSCORE_FULL_GAME'!A6))/1</f>
        <v>0</v>
      </c>
      <c r="L6" s="44">
        <f>(SUMIFS('2-DATASET'!K:K,'2-DATASET'!K:K,1,'2-DATASET'!G:G,'5-BOXSCORE_FULL_GAME'!A6))/1</f>
        <v>0</v>
      </c>
      <c r="M6" s="45">
        <f t="shared" si="2"/>
        <v>0</v>
      </c>
      <c r="N6" s="44">
        <f>(SUMIFS('2-DATASET'!T:T,'2-DATASET'!G:G,'5-BOXSCORE_FULL_GAME'!A6))</f>
        <v>0</v>
      </c>
      <c r="O6" s="44">
        <f>(SUMIFS('2-DATASET'!S:S,'2-DATASET'!G:G,'5-BOXSCORE_FULL_GAME'!A6))</f>
        <v>0</v>
      </c>
      <c r="P6" s="44">
        <f t="shared" si="3"/>
        <v>0</v>
      </c>
      <c r="Q6" s="44">
        <f>(SUMIFS('2-DATASET'!U:U,'2-DATASET'!G:G,'5-BOXSCORE_FULL_GAME'!A6))</f>
        <v>0</v>
      </c>
      <c r="R6" s="44">
        <f>(SUMIFS('2-DATASET'!V:V,'2-DATASET'!G:G,'5-BOXSCORE_FULL_GAME'!A6))</f>
        <v>0</v>
      </c>
      <c r="S6" s="44">
        <f>(SUMIFS('2-DATASET'!W:W,'2-DATASET'!G:G,'5-BOXSCORE_FULL_GAME'!A6))</f>
        <v>0</v>
      </c>
      <c r="T6" s="44">
        <f>(SUMIFS('2-DATASET'!X:X,'2-DATASET'!G:G,'5-BOXSCORE_FULL_GAME'!A6))</f>
        <v>0</v>
      </c>
      <c r="U6" s="44">
        <f>(SUMIFS('2-DATASET'!Y:Y,'2-DATASET'!G:G,'5-BOXSCORE_FULL_GAME'!A6))</f>
        <v>1</v>
      </c>
      <c r="V6" s="44">
        <f>(SUMIFS('2-DATASET'!K:K,'2-DATASET'!I:I,"Dunk",'2-DATASET'!G:G,'5-BOXSCORE_FULL_GAME'!A6))/2</f>
        <v>0</v>
      </c>
      <c r="W6" s="44">
        <f>(SUMIFS('2-DATASET'!Z:Z,'2-DATASET'!G:G,'5-BOXSCORE_FULL_GAME'!A6))</f>
        <v>1</v>
      </c>
      <c r="X6" s="44">
        <f>(SUMIFS('2-DATASET'!AA:AA,'2-DATASET'!G:G,'5-BOXSCORE_FULL_GAME'!A6))</f>
        <v>0</v>
      </c>
      <c r="Y6" s="44">
        <f t="shared" si="4"/>
        <v>-4</v>
      </c>
    </row>
    <row r="7" spans="1:25" x14ac:dyDescent="0.35">
      <c r="A7" s="2" t="s">
        <v>66</v>
      </c>
      <c r="B7" s="2" t="s">
        <v>14</v>
      </c>
      <c r="C7" s="11">
        <f>SUMIF('2-DATASET'!G:G,'5-BOXSCORE_FULL_GAME'!A7,'2-DATASET'!AE:AE)</f>
        <v>0</v>
      </c>
      <c r="D7" s="5">
        <f>SUMIFS('2-DATASET'!M:M,'2-DATASET'!G:G,'5-BOXSCORE_FULL_GAME'!A7)</f>
        <v>0</v>
      </c>
      <c r="E7" s="5">
        <f>(SUMIFS('2-DATASET'!K:K,'2-DATASET'!K:K,2,'2-DATASET'!L:L,1,'2-DATASET'!G:G,'5-BOXSCORE_FULL_GAME'!A7))/2</f>
        <v>0</v>
      </c>
      <c r="F7" s="5">
        <f>(SUMIFS('2-DATASET'!K:K,'2-DATASET'!K:K,2,'2-DATASET'!G:G,'5-BOXSCORE_FULL_GAME'!A7))/2</f>
        <v>0</v>
      </c>
      <c r="G7" s="34">
        <f t="shared" si="0"/>
        <v>0</v>
      </c>
      <c r="H7" s="5">
        <f>(SUMIFS('2-DATASET'!K:K,'2-DATASET'!K:K,3,'2-DATASET'!L:L,1,'2-DATASET'!G:G,'5-BOXSCORE_FULL_GAME'!A7))/3</f>
        <v>0</v>
      </c>
      <c r="I7" s="5">
        <f>(SUMIFS('2-DATASET'!K:K,'2-DATASET'!K:K,3,'2-DATASET'!G:G,'5-BOXSCORE_FULL_GAME'!A7))/3</f>
        <v>0</v>
      </c>
      <c r="J7" s="34">
        <f t="shared" si="1"/>
        <v>0</v>
      </c>
      <c r="K7" s="5">
        <f>(SUMIFS('2-DATASET'!K:K,'2-DATASET'!K:K,1,'2-DATASET'!L:L,1,'2-DATASET'!G:G,'5-BOXSCORE_FULL_GAME'!A7))/1</f>
        <v>0</v>
      </c>
      <c r="L7" s="5">
        <f>(SUMIFS('2-DATASET'!K:K,'2-DATASET'!K:K,1,'2-DATASET'!G:G,'5-BOXSCORE_FULL_GAME'!A7))/1</f>
        <v>0</v>
      </c>
      <c r="M7" s="34">
        <f t="shared" si="2"/>
        <v>0</v>
      </c>
      <c r="N7" s="5">
        <f>(SUMIFS('2-DATASET'!T:T,'2-DATASET'!G:G,'5-BOXSCORE_FULL_GAME'!A7))</f>
        <v>0</v>
      </c>
      <c r="O7" s="5">
        <f>(SUMIFS('2-DATASET'!S:S,'2-DATASET'!G:G,'5-BOXSCORE_FULL_GAME'!A7))</f>
        <v>0</v>
      </c>
      <c r="P7" s="5">
        <f t="shared" si="3"/>
        <v>0</v>
      </c>
      <c r="Q7" s="5">
        <f>(SUMIFS('2-DATASET'!U:U,'2-DATASET'!G:G,'5-BOXSCORE_FULL_GAME'!A7))</f>
        <v>0</v>
      </c>
      <c r="R7" s="5">
        <f>(SUMIFS('2-DATASET'!V:V,'2-DATASET'!G:G,'5-BOXSCORE_FULL_GAME'!A7))</f>
        <v>0</v>
      </c>
      <c r="S7" s="5">
        <f>(SUMIFS('2-DATASET'!W:W,'2-DATASET'!G:G,'5-BOXSCORE_FULL_GAME'!A7))</f>
        <v>0</v>
      </c>
      <c r="T7" s="5">
        <f>(SUMIFS('2-DATASET'!X:X,'2-DATASET'!G:G,'5-BOXSCORE_FULL_GAME'!A7))</f>
        <v>0</v>
      </c>
      <c r="U7" s="5">
        <f>(SUMIFS('2-DATASET'!Y:Y,'2-DATASET'!G:G,'5-BOXSCORE_FULL_GAME'!A7))</f>
        <v>0</v>
      </c>
      <c r="V7" s="5">
        <f>(SUMIFS('2-DATASET'!K:K,'2-DATASET'!I:I,"Dunk",'2-DATASET'!G:G,'5-BOXSCORE_FULL_GAME'!A7))/2</f>
        <v>0</v>
      </c>
      <c r="W7" s="5">
        <f>(SUMIFS('2-DATASET'!Z:Z,'2-DATASET'!G:G,'5-BOXSCORE_FULL_GAME'!A7))</f>
        <v>0</v>
      </c>
      <c r="X7" s="5">
        <f>(SUMIFS('2-DATASET'!AA:AA,'2-DATASET'!G:G,'5-BOXSCORE_FULL_GAME'!A7))</f>
        <v>0</v>
      </c>
      <c r="Y7" s="5">
        <f t="shared" si="4"/>
        <v>0</v>
      </c>
    </row>
    <row r="8" spans="1:25" x14ac:dyDescent="0.35">
      <c r="A8" s="2" t="s">
        <v>70</v>
      </c>
      <c r="B8" s="2" t="s">
        <v>65</v>
      </c>
      <c r="C8" s="11">
        <f>SUMIF('2-DATASET'!G:G,'5-BOXSCORE_FULL_GAME'!A8,'2-DATASET'!AE:AE)</f>
        <v>3.1481481481481482E-3</v>
      </c>
      <c r="D8" s="5">
        <f>SUMIFS('2-DATASET'!M:M,'2-DATASET'!G:G,'5-BOXSCORE_FULL_GAME'!A8)</f>
        <v>1</v>
      </c>
      <c r="E8" s="5">
        <f>(SUMIFS('2-DATASET'!K:K,'2-DATASET'!K:K,2,'2-DATASET'!L:L,1,'2-DATASET'!G:G,'5-BOXSCORE_FULL_GAME'!A8))/2</f>
        <v>0</v>
      </c>
      <c r="F8" s="5">
        <f>(SUMIFS('2-DATASET'!K:K,'2-DATASET'!K:K,2,'2-DATASET'!G:G,'5-BOXSCORE_FULL_GAME'!A8))/2</f>
        <v>0</v>
      </c>
      <c r="G8" s="34">
        <f t="shared" si="0"/>
        <v>0</v>
      </c>
      <c r="H8" s="5">
        <f>(SUMIFS('2-DATASET'!K:K,'2-DATASET'!K:K,3,'2-DATASET'!L:L,1,'2-DATASET'!G:G,'5-BOXSCORE_FULL_GAME'!A8))/3</f>
        <v>0</v>
      </c>
      <c r="I8" s="5">
        <f>(SUMIFS('2-DATASET'!K:K,'2-DATASET'!K:K,3,'2-DATASET'!G:G,'5-BOXSCORE_FULL_GAME'!A8))/3</f>
        <v>0</v>
      </c>
      <c r="J8" s="34">
        <f t="shared" si="1"/>
        <v>0</v>
      </c>
      <c r="K8" s="5">
        <f>(SUMIFS('2-DATASET'!K:K,'2-DATASET'!K:K,1,'2-DATASET'!L:L,1,'2-DATASET'!G:G,'5-BOXSCORE_FULL_GAME'!A8))/1</f>
        <v>1</v>
      </c>
      <c r="L8" s="5">
        <f>(SUMIFS('2-DATASET'!K:K,'2-DATASET'!K:K,1,'2-DATASET'!G:G,'5-BOXSCORE_FULL_GAME'!A8))/1</f>
        <v>2</v>
      </c>
      <c r="M8" s="34">
        <f t="shared" si="2"/>
        <v>0.5</v>
      </c>
      <c r="N8" s="5">
        <f>(SUMIFS('2-DATASET'!T:T,'2-DATASET'!G:G,'5-BOXSCORE_FULL_GAME'!A8))</f>
        <v>1</v>
      </c>
      <c r="O8" s="5">
        <f>(SUMIFS('2-DATASET'!S:S,'2-DATASET'!G:G,'5-BOXSCORE_FULL_GAME'!A8))</f>
        <v>1</v>
      </c>
      <c r="P8" s="5">
        <f t="shared" si="3"/>
        <v>2</v>
      </c>
      <c r="Q8" s="5">
        <f>(SUMIFS('2-DATASET'!U:U,'2-DATASET'!G:G,'5-BOXSCORE_FULL_GAME'!A8))</f>
        <v>0</v>
      </c>
      <c r="R8" s="5">
        <f>(SUMIFS('2-DATASET'!V:V,'2-DATASET'!G:G,'5-BOXSCORE_FULL_GAME'!A8))</f>
        <v>1</v>
      </c>
      <c r="S8" s="5">
        <f>(SUMIFS('2-DATASET'!W:W,'2-DATASET'!G:G,'5-BOXSCORE_FULL_GAME'!A8))</f>
        <v>0</v>
      </c>
      <c r="T8" s="5">
        <f>(SUMIFS('2-DATASET'!X:X,'2-DATASET'!G:G,'5-BOXSCORE_FULL_GAME'!A8))</f>
        <v>1</v>
      </c>
      <c r="U8" s="5">
        <f>(SUMIFS('2-DATASET'!Y:Y,'2-DATASET'!G:G,'5-BOXSCORE_FULL_GAME'!A8))</f>
        <v>0</v>
      </c>
      <c r="V8" s="5">
        <f>(SUMIFS('2-DATASET'!K:K,'2-DATASET'!I:I,"Dunk",'2-DATASET'!G:G,'5-BOXSCORE_FULL_GAME'!A8))/2</f>
        <v>0</v>
      </c>
      <c r="W8" s="5">
        <f>(SUMIFS('2-DATASET'!Z:Z,'2-DATASET'!G:G,'5-BOXSCORE_FULL_GAME'!A8))</f>
        <v>1</v>
      </c>
      <c r="X8" s="5">
        <f>(SUMIFS('2-DATASET'!AA:AA,'2-DATASET'!G:G,'5-BOXSCORE_FULL_GAME'!A8))</f>
        <v>2</v>
      </c>
      <c r="Y8" s="5">
        <f t="shared" si="4"/>
        <v>3</v>
      </c>
    </row>
    <row r="9" spans="1:25" x14ac:dyDescent="0.35">
      <c r="A9" s="2" t="s">
        <v>13</v>
      </c>
      <c r="B9" s="2" t="s">
        <v>12</v>
      </c>
      <c r="C9" s="11">
        <f>SUMIF('2-DATASET'!G:G,'5-BOXSCORE_FULL_GAME'!A9,'2-DATASET'!AE:AE)</f>
        <v>3.3101851851851803E-3</v>
      </c>
      <c r="D9" s="5">
        <f>SUMIFS('2-DATASET'!M:M,'2-DATASET'!G:G,'5-BOXSCORE_FULL_GAME'!A9)</f>
        <v>4</v>
      </c>
      <c r="E9" s="5">
        <f>(SUMIFS('2-DATASET'!K:K,'2-DATASET'!K:K,2,'2-DATASET'!L:L,1,'2-DATASET'!G:G,'5-BOXSCORE_FULL_GAME'!A9))/2</f>
        <v>2</v>
      </c>
      <c r="F9" s="5">
        <f>(SUMIFS('2-DATASET'!K:K,'2-DATASET'!K:K,2,'2-DATASET'!G:G,'5-BOXSCORE_FULL_GAME'!A9))/2</f>
        <v>2</v>
      </c>
      <c r="G9" s="34">
        <f t="shared" si="0"/>
        <v>1</v>
      </c>
      <c r="H9" s="5">
        <f>(SUMIFS('2-DATASET'!K:K,'2-DATASET'!K:K,3,'2-DATASET'!L:L,1,'2-DATASET'!G:G,'5-BOXSCORE_FULL_GAME'!A9))/3</f>
        <v>0</v>
      </c>
      <c r="I9" s="5">
        <f>(SUMIFS('2-DATASET'!K:K,'2-DATASET'!K:K,3,'2-DATASET'!G:G,'5-BOXSCORE_FULL_GAME'!A9))/3</f>
        <v>0</v>
      </c>
      <c r="J9" s="34">
        <f t="shared" si="1"/>
        <v>0</v>
      </c>
      <c r="K9" s="5">
        <f>(SUMIFS('2-DATASET'!K:K,'2-DATASET'!K:K,1,'2-DATASET'!L:L,1,'2-DATASET'!G:G,'5-BOXSCORE_FULL_GAME'!A9))/1</f>
        <v>0</v>
      </c>
      <c r="L9" s="5">
        <f>(SUMIFS('2-DATASET'!K:K,'2-DATASET'!K:K,1,'2-DATASET'!G:G,'5-BOXSCORE_FULL_GAME'!A9))/1</f>
        <v>0</v>
      </c>
      <c r="M9" s="34">
        <f t="shared" si="2"/>
        <v>0</v>
      </c>
      <c r="N9" s="5">
        <f>(SUMIFS('2-DATASET'!T:T,'2-DATASET'!G:G,'5-BOXSCORE_FULL_GAME'!A9))</f>
        <v>0</v>
      </c>
      <c r="O9" s="5">
        <f>(SUMIFS('2-DATASET'!S:S,'2-DATASET'!G:G,'5-BOXSCORE_FULL_GAME'!A9))</f>
        <v>0</v>
      </c>
      <c r="P9" s="5">
        <f t="shared" si="3"/>
        <v>0</v>
      </c>
      <c r="Q9" s="5">
        <f>(SUMIFS('2-DATASET'!U:U,'2-DATASET'!G:G,'5-BOXSCORE_FULL_GAME'!A9))</f>
        <v>1</v>
      </c>
      <c r="R9" s="5">
        <f>(SUMIFS('2-DATASET'!V:V,'2-DATASET'!G:G,'5-BOXSCORE_FULL_GAME'!A9))</f>
        <v>0</v>
      </c>
      <c r="S9" s="5">
        <f>(SUMIFS('2-DATASET'!W:W,'2-DATASET'!G:G,'5-BOXSCORE_FULL_GAME'!A9))</f>
        <v>0</v>
      </c>
      <c r="T9" s="5">
        <f>(SUMIFS('2-DATASET'!X:X,'2-DATASET'!G:G,'5-BOXSCORE_FULL_GAME'!A9))</f>
        <v>0</v>
      </c>
      <c r="U9" s="5">
        <f>(SUMIFS('2-DATASET'!Y:Y,'2-DATASET'!G:G,'5-BOXSCORE_FULL_GAME'!A9))</f>
        <v>0</v>
      </c>
      <c r="V9" s="5">
        <f>(SUMIFS('2-DATASET'!K:K,'2-DATASET'!I:I,"Dunk",'2-DATASET'!G:G,'5-BOXSCORE_FULL_GAME'!A9))/2</f>
        <v>0</v>
      </c>
      <c r="W9" s="5">
        <f>(SUMIFS('2-DATASET'!Z:Z,'2-DATASET'!G:G,'5-BOXSCORE_FULL_GAME'!A9))</f>
        <v>1</v>
      </c>
      <c r="X9" s="5">
        <f>(SUMIFS('2-DATASET'!AA:AA,'2-DATASET'!G:G,'5-BOXSCORE_FULL_GAME'!A9))</f>
        <v>1</v>
      </c>
      <c r="Y9" s="5">
        <f t="shared" si="4"/>
        <v>5</v>
      </c>
    </row>
    <row r="10" spans="1:25" s="44" customFormat="1" x14ac:dyDescent="0.35">
      <c r="A10" s="21" t="s">
        <v>35</v>
      </c>
      <c r="B10" s="21" t="s">
        <v>78</v>
      </c>
      <c r="C10" s="23">
        <f>SUMIF('2-DATASET'!G:G,'5-BOXSCORE_FULL_GAME'!A10,'2-DATASET'!AE:AE)</f>
        <v>2.5335648148148142E-2</v>
      </c>
      <c r="D10" s="44">
        <f>SUMIFS('2-DATASET'!M:M,'2-DATASET'!G:G,'5-BOXSCORE_FULL_GAME'!A10)</f>
        <v>2</v>
      </c>
      <c r="E10" s="44">
        <f>(SUMIFS('2-DATASET'!K:K,'2-DATASET'!K:K,2,'2-DATASET'!L:L,1,'2-DATASET'!G:G,'5-BOXSCORE_FULL_GAME'!A10))/2</f>
        <v>1</v>
      </c>
      <c r="F10" s="44">
        <f>(SUMIFS('2-DATASET'!K:K,'2-DATASET'!K:K,2,'2-DATASET'!G:G,'5-BOXSCORE_FULL_GAME'!A10))/2</f>
        <v>2</v>
      </c>
      <c r="G10" s="45">
        <f t="shared" si="0"/>
        <v>0.5</v>
      </c>
      <c r="H10" s="44">
        <f>(SUMIFS('2-DATASET'!K:K,'2-DATASET'!K:K,3,'2-DATASET'!L:L,1,'2-DATASET'!G:G,'5-BOXSCORE_FULL_GAME'!A10))/3</f>
        <v>0</v>
      </c>
      <c r="I10" s="44">
        <f>(SUMIFS('2-DATASET'!K:K,'2-DATASET'!K:K,3,'2-DATASET'!G:G,'5-BOXSCORE_FULL_GAME'!A10))/3</f>
        <v>0</v>
      </c>
      <c r="J10" s="45">
        <f t="shared" si="1"/>
        <v>0</v>
      </c>
      <c r="K10" s="44">
        <f>(SUMIFS('2-DATASET'!K:K,'2-DATASET'!K:K,1,'2-DATASET'!L:L,1,'2-DATASET'!G:G,'5-BOXSCORE_FULL_GAME'!A10))/1</f>
        <v>0</v>
      </c>
      <c r="L10" s="44">
        <f>(SUMIFS('2-DATASET'!K:K,'2-DATASET'!K:K,1,'2-DATASET'!G:G,'5-BOXSCORE_FULL_GAME'!A10))/1</f>
        <v>0</v>
      </c>
      <c r="M10" s="45">
        <f t="shared" si="2"/>
        <v>0</v>
      </c>
      <c r="N10" s="44">
        <f>(SUMIFS('2-DATASET'!T:T,'2-DATASET'!G:G,'5-BOXSCORE_FULL_GAME'!A10))</f>
        <v>0</v>
      </c>
      <c r="O10" s="44">
        <f>(SUMIFS('2-DATASET'!S:S,'2-DATASET'!G:G,'5-BOXSCORE_FULL_GAME'!A10))</f>
        <v>0</v>
      </c>
      <c r="P10" s="44">
        <f t="shared" si="3"/>
        <v>0</v>
      </c>
      <c r="Q10" s="44">
        <f>(SUMIFS('2-DATASET'!U:U,'2-DATASET'!G:G,'5-BOXSCORE_FULL_GAME'!A10))</f>
        <v>1</v>
      </c>
      <c r="R10" s="44">
        <f>(SUMIFS('2-DATASET'!V:V,'2-DATASET'!G:G,'5-BOXSCORE_FULL_GAME'!A10))</f>
        <v>0</v>
      </c>
      <c r="S10" s="44">
        <f>(SUMIFS('2-DATASET'!W:W,'2-DATASET'!G:G,'5-BOXSCORE_FULL_GAME'!A10))</f>
        <v>0</v>
      </c>
      <c r="T10" s="44">
        <f>(SUMIFS('2-DATASET'!X:X,'2-DATASET'!G:G,'5-BOXSCORE_FULL_GAME'!A10))</f>
        <v>0</v>
      </c>
      <c r="U10" s="44">
        <f>(SUMIFS('2-DATASET'!Y:Y,'2-DATASET'!G:G,'5-BOXSCORE_FULL_GAME'!A10))</f>
        <v>0</v>
      </c>
      <c r="V10" s="44">
        <f>(SUMIFS('2-DATASET'!K:K,'2-DATASET'!I:I,"Dunk",'2-DATASET'!G:G,'5-BOXSCORE_FULL_GAME'!A10))/2</f>
        <v>0</v>
      </c>
      <c r="W10" s="44">
        <f>(SUMIFS('2-DATASET'!Z:Z,'2-DATASET'!G:G,'5-BOXSCORE_FULL_GAME'!A10))</f>
        <v>0</v>
      </c>
      <c r="X10" s="44">
        <f>(SUMIFS('2-DATASET'!AA:AA,'2-DATASET'!G:G,'5-BOXSCORE_FULL_GAME'!A10))</f>
        <v>0</v>
      </c>
      <c r="Y10" s="44">
        <f t="shared" si="4"/>
        <v>2</v>
      </c>
    </row>
    <row r="11" spans="1:25" x14ac:dyDescent="0.35">
      <c r="A11" s="2" t="s">
        <v>67</v>
      </c>
      <c r="B11" s="2" t="s">
        <v>79</v>
      </c>
      <c r="C11" s="11">
        <f>SUMIF('2-DATASET'!G:G,'5-BOXSCORE_FULL_GAME'!A11,'2-DATASET'!AE:AE)</f>
        <v>0</v>
      </c>
      <c r="D11" s="5">
        <f>SUMIFS('2-DATASET'!M:M,'2-DATASET'!G:G,'5-BOXSCORE_FULL_GAME'!A11)</f>
        <v>0</v>
      </c>
      <c r="E11" s="5">
        <f>(SUMIFS('2-DATASET'!K:K,'2-DATASET'!K:K,2,'2-DATASET'!L:L,1,'2-DATASET'!G:G,'5-BOXSCORE_FULL_GAME'!A11))/2</f>
        <v>0</v>
      </c>
      <c r="F11" s="5">
        <f>(SUMIFS('2-DATASET'!K:K,'2-DATASET'!K:K,2,'2-DATASET'!G:G,'5-BOXSCORE_FULL_GAME'!A11))/2</f>
        <v>0</v>
      </c>
      <c r="G11" s="34">
        <f t="shared" si="0"/>
        <v>0</v>
      </c>
      <c r="H11" s="5">
        <f>(SUMIFS('2-DATASET'!K:K,'2-DATASET'!K:K,3,'2-DATASET'!L:L,1,'2-DATASET'!G:G,'5-BOXSCORE_FULL_GAME'!A11))/3</f>
        <v>0</v>
      </c>
      <c r="I11" s="5">
        <f>(SUMIFS('2-DATASET'!K:K,'2-DATASET'!K:K,3,'2-DATASET'!G:G,'5-BOXSCORE_FULL_GAME'!A11))/3</f>
        <v>0</v>
      </c>
      <c r="J11" s="34">
        <f t="shared" si="1"/>
        <v>0</v>
      </c>
      <c r="K11" s="5">
        <f>(SUMIFS('2-DATASET'!K:K,'2-DATASET'!K:K,1,'2-DATASET'!L:L,1,'2-DATASET'!G:G,'5-BOXSCORE_FULL_GAME'!A11))/1</f>
        <v>0</v>
      </c>
      <c r="L11" s="5">
        <f>(SUMIFS('2-DATASET'!K:K,'2-DATASET'!K:K,1,'2-DATASET'!G:G,'5-BOXSCORE_FULL_GAME'!A11))/1</f>
        <v>0</v>
      </c>
      <c r="M11" s="34">
        <f t="shared" si="2"/>
        <v>0</v>
      </c>
      <c r="N11" s="5">
        <f>(SUMIFS('2-DATASET'!T:T,'2-DATASET'!G:G,'5-BOXSCORE_FULL_GAME'!A11))</f>
        <v>0</v>
      </c>
      <c r="O11" s="5">
        <f>(SUMIFS('2-DATASET'!S:S,'2-DATASET'!G:G,'5-BOXSCORE_FULL_GAME'!A11))</f>
        <v>0</v>
      </c>
      <c r="P11" s="5">
        <f t="shared" si="3"/>
        <v>0</v>
      </c>
      <c r="Q11" s="5">
        <f>(SUMIFS('2-DATASET'!U:U,'2-DATASET'!G:G,'5-BOXSCORE_FULL_GAME'!A11))</f>
        <v>0</v>
      </c>
      <c r="R11" s="5">
        <f>(SUMIFS('2-DATASET'!V:V,'2-DATASET'!G:G,'5-BOXSCORE_FULL_GAME'!A11))</f>
        <v>0</v>
      </c>
      <c r="S11" s="5">
        <f>(SUMIFS('2-DATASET'!W:W,'2-DATASET'!G:G,'5-BOXSCORE_FULL_GAME'!A11))</f>
        <v>0</v>
      </c>
      <c r="T11" s="5">
        <f>(SUMIFS('2-DATASET'!X:X,'2-DATASET'!G:G,'5-BOXSCORE_FULL_GAME'!A11))</f>
        <v>0</v>
      </c>
      <c r="U11" s="5">
        <f>(SUMIFS('2-DATASET'!Y:Y,'2-DATASET'!G:G,'5-BOXSCORE_FULL_GAME'!A11))</f>
        <v>0</v>
      </c>
      <c r="V11" s="5">
        <f>(SUMIFS('2-DATASET'!K:K,'2-DATASET'!I:I,"Dunk",'2-DATASET'!G:G,'5-BOXSCORE_FULL_GAME'!A11))/2</f>
        <v>0</v>
      </c>
      <c r="W11" s="5">
        <f>(SUMIFS('2-DATASET'!Z:Z,'2-DATASET'!G:G,'5-BOXSCORE_FULL_GAME'!A11))</f>
        <v>0</v>
      </c>
      <c r="X11" s="5">
        <f>(SUMIFS('2-DATASET'!AA:AA,'2-DATASET'!G:G,'5-BOXSCORE_FULL_GAME'!A11))</f>
        <v>0</v>
      </c>
      <c r="Y11" s="5">
        <f t="shared" si="4"/>
        <v>0</v>
      </c>
    </row>
    <row r="12" spans="1:25" s="44" customFormat="1" x14ac:dyDescent="0.35">
      <c r="A12" s="21" t="s">
        <v>68</v>
      </c>
      <c r="B12" s="21" t="s">
        <v>10</v>
      </c>
      <c r="C12" s="23">
        <f>SUMIF('2-DATASET'!G:G,'5-BOXSCORE_FULL_GAME'!A12,'2-DATASET'!AE:AE)</f>
        <v>2.5138888888888888E-2</v>
      </c>
      <c r="D12" s="44">
        <f>SUMIFS('2-DATASET'!M:M,'2-DATASET'!G:G,'5-BOXSCORE_FULL_GAME'!A12)</f>
        <v>12</v>
      </c>
      <c r="E12" s="44">
        <f>(SUMIFS('2-DATASET'!K:K,'2-DATASET'!K:K,2,'2-DATASET'!L:L,1,'2-DATASET'!G:G,'5-BOXSCORE_FULL_GAME'!A12))/2</f>
        <v>0</v>
      </c>
      <c r="F12" s="44">
        <f>(SUMIFS('2-DATASET'!K:K,'2-DATASET'!K:K,2,'2-DATASET'!G:G,'5-BOXSCORE_FULL_GAME'!A12))/2</f>
        <v>1</v>
      </c>
      <c r="G12" s="45">
        <f t="shared" si="0"/>
        <v>0</v>
      </c>
      <c r="H12" s="44">
        <f>(SUMIFS('2-DATASET'!K:K,'2-DATASET'!K:K,3,'2-DATASET'!L:L,1,'2-DATASET'!G:G,'5-BOXSCORE_FULL_GAME'!A12))/3</f>
        <v>4</v>
      </c>
      <c r="I12" s="44">
        <f>(SUMIFS('2-DATASET'!K:K,'2-DATASET'!K:K,3,'2-DATASET'!G:G,'5-BOXSCORE_FULL_GAME'!A12))/3</f>
        <v>6</v>
      </c>
      <c r="J12" s="45">
        <f t="shared" si="1"/>
        <v>0.66666666666666663</v>
      </c>
      <c r="K12" s="44">
        <f>(SUMIFS('2-DATASET'!K:K,'2-DATASET'!K:K,1,'2-DATASET'!L:L,1,'2-DATASET'!G:G,'5-BOXSCORE_FULL_GAME'!A12))/1</f>
        <v>0</v>
      </c>
      <c r="L12" s="44">
        <f>(SUMIFS('2-DATASET'!K:K,'2-DATASET'!K:K,1,'2-DATASET'!G:G,'5-BOXSCORE_FULL_GAME'!A12))/1</f>
        <v>0</v>
      </c>
      <c r="M12" s="45">
        <f t="shared" si="2"/>
        <v>0</v>
      </c>
      <c r="N12" s="44">
        <f>(SUMIFS('2-DATASET'!T:T,'2-DATASET'!G:G,'5-BOXSCORE_FULL_GAME'!A12))</f>
        <v>0</v>
      </c>
      <c r="O12" s="44">
        <f>(SUMIFS('2-DATASET'!S:S,'2-DATASET'!G:G,'5-BOXSCORE_FULL_GAME'!A12))</f>
        <v>1</v>
      </c>
      <c r="P12" s="44">
        <f t="shared" si="3"/>
        <v>1</v>
      </c>
      <c r="Q12" s="44">
        <f>(SUMIFS('2-DATASET'!U:U,'2-DATASET'!G:G,'5-BOXSCORE_FULL_GAME'!A12))</f>
        <v>0</v>
      </c>
      <c r="R12" s="44">
        <f>(SUMIFS('2-DATASET'!V:V,'2-DATASET'!G:G,'5-BOXSCORE_FULL_GAME'!A12))</f>
        <v>1</v>
      </c>
      <c r="S12" s="44">
        <f>(SUMIFS('2-DATASET'!W:W,'2-DATASET'!G:G,'5-BOXSCORE_FULL_GAME'!A12))</f>
        <v>0</v>
      </c>
      <c r="T12" s="44">
        <f>(SUMIFS('2-DATASET'!X:X,'2-DATASET'!G:G,'5-BOXSCORE_FULL_GAME'!A12))</f>
        <v>0</v>
      </c>
      <c r="U12" s="44">
        <f>(SUMIFS('2-DATASET'!Y:Y,'2-DATASET'!G:G,'5-BOXSCORE_FULL_GAME'!A12))</f>
        <v>0</v>
      </c>
      <c r="V12" s="44">
        <f>(SUMIFS('2-DATASET'!K:K,'2-DATASET'!I:I,"Dunk",'2-DATASET'!G:G,'5-BOXSCORE_FULL_GAME'!A12))/2</f>
        <v>0</v>
      </c>
      <c r="W12" s="44">
        <f>(SUMIFS('2-DATASET'!Z:Z,'2-DATASET'!G:G,'5-BOXSCORE_FULL_GAME'!A12))</f>
        <v>0</v>
      </c>
      <c r="X12" s="44">
        <f>(SUMIFS('2-DATASET'!AA:AA,'2-DATASET'!G:G,'5-BOXSCORE_FULL_GAME'!A12))</f>
        <v>1</v>
      </c>
      <c r="Y12" s="44">
        <f t="shared" si="4"/>
        <v>10</v>
      </c>
    </row>
    <row r="13" spans="1:25" s="44" customFormat="1" x14ac:dyDescent="0.35">
      <c r="A13" s="21" t="s">
        <v>69</v>
      </c>
      <c r="B13" s="21" t="s">
        <v>80</v>
      </c>
      <c r="C13" s="23">
        <f>SUMIF('2-DATASET'!G:G,'5-BOXSCORE_FULL_GAME'!A13,'2-DATASET'!AE:AE)</f>
        <v>2.4467592592592593E-2</v>
      </c>
      <c r="D13" s="44">
        <f>SUMIFS('2-DATASET'!M:M,'2-DATASET'!G:G,'5-BOXSCORE_FULL_GAME'!A13)</f>
        <v>5</v>
      </c>
      <c r="E13" s="44">
        <f>(SUMIFS('2-DATASET'!K:K,'2-DATASET'!K:K,2,'2-DATASET'!L:L,1,'2-DATASET'!G:G,'5-BOXSCORE_FULL_GAME'!A13))/2</f>
        <v>1</v>
      </c>
      <c r="F13" s="44">
        <f>(SUMIFS('2-DATASET'!K:K,'2-DATASET'!K:K,2,'2-DATASET'!G:G,'5-BOXSCORE_FULL_GAME'!A13))/2</f>
        <v>1</v>
      </c>
      <c r="G13" s="45">
        <f t="shared" si="0"/>
        <v>1</v>
      </c>
      <c r="H13" s="44">
        <f>(SUMIFS('2-DATASET'!K:K,'2-DATASET'!K:K,3,'2-DATASET'!L:L,1,'2-DATASET'!G:G,'5-BOXSCORE_FULL_GAME'!A13))/3</f>
        <v>0</v>
      </c>
      <c r="I13" s="44">
        <f>(SUMIFS('2-DATASET'!K:K,'2-DATASET'!K:K,3,'2-DATASET'!G:G,'5-BOXSCORE_FULL_GAME'!A13))/3</f>
        <v>1</v>
      </c>
      <c r="J13" s="45">
        <f t="shared" si="1"/>
        <v>0</v>
      </c>
      <c r="K13" s="44">
        <f>(SUMIFS('2-DATASET'!K:K,'2-DATASET'!K:K,1,'2-DATASET'!L:L,1,'2-DATASET'!G:G,'5-BOXSCORE_FULL_GAME'!A13))/1</f>
        <v>3</v>
      </c>
      <c r="L13" s="44">
        <f>(SUMIFS('2-DATASET'!K:K,'2-DATASET'!K:K,1,'2-DATASET'!G:G,'5-BOXSCORE_FULL_GAME'!A13))/1</f>
        <v>3</v>
      </c>
      <c r="M13" s="45">
        <f t="shared" si="2"/>
        <v>1</v>
      </c>
      <c r="N13" s="44">
        <f>(SUMIFS('2-DATASET'!T:T,'2-DATASET'!G:G,'5-BOXSCORE_FULL_GAME'!A13))</f>
        <v>0</v>
      </c>
      <c r="O13" s="44">
        <f>(SUMIFS('2-DATASET'!S:S,'2-DATASET'!G:G,'5-BOXSCORE_FULL_GAME'!A13))</f>
        <v>2</v>
      </c>
      <c r="P13" s="44">
        <f t="shared" si="3"/>
        <v>2</v>
      </c>
      <c r="Q13" s="44">
        <f>(SUMIFS('2-DATASET'!U:U,'2-DATASET'!G:G,'5-BOXSCORE_FULL_GAME'!A13))</f>
        <v>0</v>
      </c>
      <c r="R13" s="44">
        <f>(SUMIFS('2-DATASET'!V:V,'2-DATASET'!G:G,'5-BOXSCORE_FULL_GAME'!A13))</f>
        <v>1</v>
      </c>
      <c r="S13" s="44">
        <f>(SUMIFS('2-DATASET'!W:W,'2-DATASET'!G:G,'5-BOXSCORE_FULL_GAME'!A13))</f>
        <v>0</v>
      </c>
      <c r="T13" s="44">
        <f>(SUMIFS('2-DATASET'!X:X,'2-DATASET'!G:G,'5-BOXSCORE_FULL_GAME'!A13))</f>
        <v>0</v>
      </c>
      <c r="U13" s="44">
        <f>(SUMIFS('2-DATASET'!Y:Y,'2-DATASET'!G:G,'5-BOXSCORE_FULL_GAME'!A13))</f>
        <v>0</v>
      </c>
      <c r="V13" s="44">
        <f>(SUMIFS('2-DATASET'!K:K,'2-DATASET'!I:I,"Dunk",'2-DATASET'!G:G,'5-BOXSCORE_FULL_GAME'!A13))/2</f>
        <v>0</v>
      </c>
      <c r="W13" s="44">
        <f>(SUMIFS('2-DATASET'!Z:Z,'2-DATASET'!G:G,'5-BOXSCORE_FULL_GAME'!A13))</f>
        <v>1</v>
      </c>
      <c r="X13" s="44">
        <f>(SUMIFS('2-DATASET'!AA:AA,'2-DATASET'!G:G,'5-BOXSCORE_FULL_GAME'!A13))</f>
        <v>1</v>
      </c>
      <c r="Y13" s="44">
        <f t="shared" si="4"/>
        <v>5</v>
      </c>
    </row>
    <row r="14" spans="1:25" x14ac:dyDescent="0.35">
      <c r="A14" s="24" t="s">
        <v>120</v>
      </c>
      <c r="B14" s="24" t="s">
        <v>123</v>
      </c>
      <c r="C14" s="37">
        <f>SUMIF('2-DATASET'!G:G,'5-BOXSCORE_FULL_GAME'!A14,'2-DATASET'!AE:AE)</f>
        <v>0</v>
      </c>
      <c r="D14" s="36">
        <f>SUMIFS('2-DATASET'!M:M,'2-DATASET'!G:G,'5-BOXSCORE_FULL_GAME'!A14)</f>
        <v>0</v>
      </c>
      <c r="E14" s="36">
        <f>(SUMIFS('2-DATASET'!K:K,'2-DATASET'!K:K,2,'2-DATASET'!L:L,1,'2-DATASET'!G:G,'5-BOXSCORE_FULL_GAME'!A14))/2</f>
        <v>0</v>
      </c>
      <c r="F14" s="36">
        <f>(SUMIFS('2-DATASET'!K:K,'2-DATASET'!K:K,2,'2-DATASET'!G:G,'5-BOXSCORE_FULL_GAME'!A14))/2</f>
        <v>0</v>
      </c>
      <c r="G14" s="38">
        <f t="shared" si="0"/>
        <v>0</v>
      </c>
      <c r="H14" s="36">
        <f>(SUMIFS('2-DATASET'!K:K,'2-DATASET'!K:K,3,'2-DATASET'!L:L,1,'2-DATASET'!G:G,'5-BOXSCORE_FULL_GAME'!A14))/3</f>
        <v>0</v>
      </c>
      <c r="I14" s="36">
        <f>(SUMIFS('2-DATASET'!K:K,'2-DATASET'!K:K,3,'2-DATASET'!G:G,'5-BOXSCORE_FULL_GAME'!A14))/3</f>
        <v>0</v>
      </c>
      <c r="J14" s="38">
        <f t="shared" si="1"/>
        <v>0</v>
      </c>
      <c r="K14" s="36">
        <f>(SUMIFS('2-DATASET'!K:K,'2-DATASET'!K:K,1,'2-DATASET'!L:L,1,'2-DATASET'!G:G,'5-BOXSCORE_FULL_GAME'!A14))/1</f>
        <v>0</v>
      </c>
      <c r="L14" s="36">
        <f>(SUMIFS('2-DATASET'!K:K,'2-DATASET'!K:K,1,'2-DATASET'!G:G,'5-BOXSCORE_FULL_GAME'!A14))/1</f>
        <v>0</v>
      </c>
      <c r="M14" s="38">
        <f t="shared" si="2"/>
        <v>0</v>
      </c>
      <c r="N14" s="36">
        <f>(SUMIFS('2-DATASET'!T:T,'2-DATASET'!G:G,'5-BOXSCORE_FULL_GAME'!A14))</f>
        <v>0</v>
      </c>
      <c r="O14" s="36">
        <f>(SUMIFS('2-DATASET'!S:S,'2-DATASET'!G:G,'5-BOXSCORE_FULL_GAME'!A14))</f>
        <v>3</v>
      </c>
      <c r="P14" s="36">
        <f t="shared" si="3"/>
        <v>3</v>
      </c>
      <c r="Q14" s="36">
        <f>(SUMIFS('2-DATASET'!U:U,'2-DATASET'!G:G,'5-BOXSCORE_FULL_GAME'!A14))</f>
        <v>0</v>
      </c>
      <c r="R14" s="36">
        <f>(SUMIFS('2-DATASET'!V:V,'2-DATASET'!G:G,'5-BOXSCORE_FULL_GAME'!A14))</f>
        <v>1</v>
      </c>
      <c r="S14" s="36">
        <f>(SUMIFS('2-DATASET'!W:W,'2-DATASET'!G:G,'5-BOXSCORE_FULL_GAME'!A14))</f>
        <v>0</v>
      </c>
      <c r="T14" s="36">
        <f>(SUMIFS('2-DATASET'!X:X,'2-DATASET'!G:G,'5-BOXSCORE_FULL_GAME'!A14))</f>
        <v>0</v>
      </c>
      <c r="U14" s="36">
        <f>(SUMIFS('2-DATASET'!Y:Y,'2-DATASET'!G:G,'5-BOXSCORE_FULL_GAME'!A14))</f>
        <v>0</v>
      </c>
      <c r="V14" s="36">
        <f>(SUMIFS('2-DATASET'!K:K,'2-DATASET'!I:I,"Dunk",'2-DATASET'!G:G,'5-BOXSCORE_FULL_GAME'!A14))/2</f>
        <v>0</v>
      </c>
      <c r="W14" s="36">
        <f>(SUMIFS('2-DATASET'!Z:Z,'2-DATASET'!G:G,'5-BOXSCORE_FULL_GAME'!A14))</f>
        <v>0</v>
      </c>
      <c r="X14" s="36">
        <f>(SUMIFS('2-DATASET'!AA:AA,'2-DATASET'!G:G,'5-BOXSCORE_FULL_GAME'!A14))</f>
        <v>0</v>
      </c>
      <c r="Y14" s="36">
        <f t="shared" si="4"/>
        <v>2</v>
      </c>
    </row>
    <row r="15" spans="1:25" s="4" customFormat="1" x14ac:dyDescent="0.35">
      <c r="A15" s="24"/>
      <c r="B15" s="24" t="s">
        <v>162</v>
      </c>
      <c r="C15" s="25">
        <f>SUM(C2:C13)</f>
        <v>0.13888888888888887</v>
      </c>
      <c r="D15" s="33">
        <f>SUM(D2:D14)</f>
        <v>36</v>
      </c>
      <c r="E15" s="33">
        <f>SUM(E2:E14)</f>
        <v>6</v>
      </c>
      <c r="F15" s="33">
        <f>SUM(F2:F14)</f>
        <v>10</v>
      </c>
      <c r="G15" s="39">
        <f t="shared" si="0"/>
        <v>0.6</v>
      </c>
      <c r="H15" s="33">
        <f>SUM(H2:H14)</f>
        <v>6</v>
      </c>
      <c r="I15" s="33">
        <f>SUM(I2:I14)</f>
        <v>11</v>
      </c>
      <c r="J15" s="39">
        <f t="shared" si="1"/>
        <v>0.54545454545454541</v>
      </c>
      <c r="K15" s="33">
        <f>SUM(K2:K14)</f>
        <v>6</v>
      </c>
      <c r="L15" s="33">
        <f>SUM(L2:L14)</f>
        <v>7</v>
      </c>
      <c r="M15" s="39">
        <f t="shared" si="2"/>
        <v>0.8571428571428571</v>
      </c>
      <c r="N15" s="33">
        <f>SUM(N2:N14)</f>
        <v>3</v>
      </c>
      <c r="O15" s="33">
        <f>SUM(O2:O14)</f>
        <v>7</v>
      </c>
      <c r="P15" s="33">
        <f t="shared" si="3"/>
        <v>10</v>
      </c>
      <c r="Q15" s="33">
        <f t="shared" ref="Q15:X15" si="5">SUM(Q2:Q14)</f>
        <v>4</v>
      </c>
      <c r="R15" s="33">
        <f t="shared" si="5"/>
        <v>5</v>
      </c>
      <c r="S15" s="33">
        <f t="shared" si="5"/>
        <v>0</v>
      </c>
      <c r="T15" s="33">
        <f t="shared" si="5"/>
        <v>1</v>
      </c>
      <c r="U15" s="33">
        <f t="shared" si="5"/>
        <v>2</v>
      </c>
      <c r="V15" s="33">
        <f t="shared" si="5"/>
        <v>0</v>
      </c>
      <c r="W15" s="33">
        <f t="shared" si="5"/>
        <v>8</v>
      </c>
      <c r="X15" s="33">
        <f t="shared" si="5"/>
        <v>7</v>
      </c>
      <c r="Y15" s="33">
        <f t="shared" si="4"/>
        <v>33</v>
      </c>
    </row>
    <row r="16" spans="1:25" x14ac:dyDescent="0.35">
      <c r="B16" s="33" t="s">
        <v>164</v>
      </c>
      <c r="C16" s="43">
        <f>HOUR(C15)*60+MINUTE(C15)+SECOND(C15)/60</f>
        <v>200</v>
      </c>
      <c r="G16" s="34"/>
      <c r="J16" s="34"/>
      <c r="M16" s="34"/>
    </row>
    <row r="17" spans="1:25" x14ac:dyDescent="0.35">
      <c r="G17" s="34"/>
      <c r="J17" s="34"/>
      <c r="M17" s="34"/>
    </row>
    <row r="18" spans="1:25" x14ac:dyDescent="0.35">
      <c r="A18" s="3" t="s">
        <v>15</v>
      </c>
      <c r="B18" s="3" t="s">
        <v>17</v>
      </c>
      <c r="C18" s="12">
        <f>SUMIF('2-DATASET'!G:G,'5-BOXSCORE_FULL_GAME'!A18,'2-DATASET'!AE:AE)</f>
        <v>3.3101851851851847E-3</v>
      </c>
      <c r="D18" s="5">
        <f>SUMIF('2-DATASET'!G:G,'5-BOXSCORE_FULL_GAME'!A18,'2-DATASET'!M:M)</f>
        <v>1</v>
      </c>
      <c r="E18" s="5">
        <f>(SUMIFS('2-DATASET'!K:K,'2-DATASET'!K:K,2,'2-DATASET'!L:L,1,'2-DATASET'!G:G,'5-BOXSCORE_FULL_GAME'!A18))/2</f>
        <v>0</v>
      </c>
      <c r="F18" s="5">
        <f>(SUMIFS('2-DATASET'!K:K,'2-DATASET'!K:K,2,'2-DATASET'!G:G,'5-BOXSCORE_FULL_GAME'!A18))/2</f>
        <v>1</v>
      </c>
      <c r="G18" s="34">
        <f t="shared" si="0"/>
        <v>0</v>
      </c>
      <c r="H18" s="5">
        <f>(SUMIFS('2-DATASET'!K:K,'2-DATASET'!K:K,3,'2-DATASET'!L:L,1,'2-DATASET'!G:G,'5-BOXSCORE_FULL_GAME'!A18))/3</f>
        <v>0</v>
      </c>
      <c r="I18" s="5">
        <f>(SUMIFS('2-DATASET'!K:K,'2-DATASET'!K:K,3,'2-DATASET'!G:G,'5-BOXSCORE_FULL_GAME'!A18))/3</f>
        <v>0</v>
      </c>
      <c r="J18" s="34">
        <f t="shared" si="1"/>
        <v>0</v>
      </c>
      <c r="K18" s="5">
        <f>(SUMIFS('2-DATASET'!K:K,'2-DATASET'!K:K,1,'2-DATASET'!L:L,1,'2-DATASET'!G:G,'5-BOXSCORE_FULL_GAME'!A18))/1</f>
        <v>1</v>
      </c>
      <c r="L18" s="5">
        <f>(SUMIFS('2-DATASET'!K:K,'2-DATASET'!K:K,1,'2-DATASET'!G:G,'5-BOXSCORE_FULL_GAME'!A18))/1</f>
        <v>2</v>
      </c>
      <c r="M18" s="34">
        <f t="shared" si="2"/>
        <v>0.5</v>
      </c>
      <c r="N18" s="5">
        <f>(SUMIFS('2-DATASET'!T:T,'2-DATASET'!G:G,'5-BOXSCORE_FULL_GAME'!A18))</f>
        <v>0</v>
      </c>
      <c r="O18" s="5">
        <f>(SUMIFS('2-DATASET'!S:S,'2-DATASET'!G:G,'5-BOXSCORE_FULL_GAME'!A18))</f>
        <v>0</v>
      </c>
      <c r="P18" s="5">
        <f t="shared" si="3"/>
        <v>0</v>
      </c>
      <c r="Q18" s="5">
        <f>(SUMIFS('2-DATASET'!U:U,'2-DATASET'!G:G,'5-BOXSCORE_FULL_GAME'!A18))</f>
        <v>1</v>
      </c>
      <c r="R18" s="5">
        <f>(SUMIFS('2-DATASET'!V:V,'2-DATASET'!G:G,'5-BOXSCORE_FULL_GAME'!A18))</f>
        <v>1</v>
      </c>
      <c r="S18" s="5">
        <f>(SUMIFS('2-DATASET'!W:W,'2-DATASET'!G:G,'5-BOXSCORE_FULL_GAME'!A18))</f>
        <v>0</v>
      </c>
      <c r="T18" s="5">
        <f>(SUMIFS('2-DATASET'!X:X,'2-DATASET'!G:G,'5-BOXSCORE_FULL_GAME'!A18))</f>
        <v>0</v>
      </c>
      <c r="U18" s="5">
        <f>(SUMIFS('2-DATASET'!Y:Y,'2-DATASET'!G:G,'5-BOXSCORE_FULL_GAME'!A18))</f>
        <v>0</v>
      </c>
      <c r="V18" s="5">
        <f>(SUMIFS('2-DATASET'!K:K,'2-DATASET'!I:I,"Dunk",'2-DATASET'!G:G,'5-BOXSCORE_FULL_GAME'!A18))/2</f>
        <v>0</v>
      </c>
      <c r="W18" s="5">
        <f>(SUMIFS('2-DATASET'!Z:Z,'2-DATASET'!G:G,'5-BOXSCORE_FULL_GAME'!A18))</f>
        <v>1</v>
      </c>
      <c r="X18" s="5">
        <f>(SUMIFS('2-DATASET'!AA:AA,'2-DATASET'!G:G,'5-BOXSCORE_FULL_GAME'!A18))</f>
        <v>1</v>
      </c>
      <c r="Y18" s="5">
        <f t="shared" si="4"/>
        <v>-1</v>
      </c>
    </row>
    <row r="19" spans="1:25" s="44" customFormat="1" x14ac:dyDescent="0.35">
      <c r="A19" s="22" t="s">
        <v>18</v>
      </c>
      <c r="B19" s="22" t="s">
        <v>19</v>
      </c>
      <c r="C19" s="32">
        <f>SUMIF('2-DATASET'!G:G,'5-BOXSCORE_FULL_GAME'!A19,'2-DATASET'!AE:AE)</f>
        <v>2.4467592592592593E-2</v>
      </c>
      <c r="D19" s="44">
        <f>SUMIF('2-DATASET'!G:G,'5-BOXSCORE_FULL_GAME'!A19,'2-DATASET'!M:M)</f>
        <v>6</v>
      </c>
      <c r="E19" s="44">
        <f>(SUMIFS('2-DATASET'!K:K,'2-DATASET'!K:K,2,'2-DATASET'!L:L,1,'2-DATASET'!G:G,'5-BOXSCORE_FULL_GAME'!A19))/2</f>
        <v>2</v>
      </c>
      <c r="F19" s="44">
        <f>(SUMIFS('2-DATASET'!K:K,'2-DATASET'!K:K,2,'2-DATASET'!G:G,'5-BOXSCORE_FULL_GAME'!A19))/2</f>
        <v>2</v>
      </c>
      <c r="G19" s="45">
        <f t="shared" si="0"/>
        <v>1</v>
      </c>
      <c r="H19" s="44">
        <f>(SUMIFS('2-DATASET'!K:K,'2-DATASET'!K:K,3,'2-DATASET'!L:L,1,'2-DATASET'!G:G,'5-BOXSCORE_FULL_GAME'!A19))/3</f>
        <v>0</v>
      </c>
      <c r="I19" s="44">
        <f>(SUMIFS('2-DATASET'!K:K,'2-DATASET'!K:K,3,'2-DATASET'!G:G,'5-BOXSCORE_FULL_GAME'!A19))/3</f>
        <v>1</v>
      </c>
      <c r="J19" s="45">
        <f t="shared" si="1"/>
        <v>0</v>
      </c>
      <c r="K19" s="44">
        <f>(SUMIFS('2-DATASET'!K:K,'2-DATASET'!K:K,1,'2-DATASET'!L:L,1,'2-DATASET'!G:G,'5-BOXSCORE_FULL_GAME'!A19))/1</f>
        <v>2</v>
      </c>
      <c r="L19" s="44">
        <f>(SUMIFS('2-DATASET'!K:K,'2-DATASET'!K:K,1,'2-DATASET'!G:G,'5-BOXSCORE_FULL_GAME'!A19))/1</f>
        <v>2</v>
      </c>
      <c r="M19" s="45">
        <f t="shared" si="2"/>
        <v>1</v>
      </c>
      <c r="N19" s="44">
        <f>(SUMIFS('2-DATASET'!T:T,'2-DATASET'!G:G,'5-BOXSCORE_FULL_GAME'!A19))</f>
        <v>1</v>
      </c>
      <c r="O19" s="44">
        <f>(SUMIFS('2-DATASET'!S:S,'2-DATASET'!G:G,'5-BOXSCORE_FULL_GAME'!A19))</f>
        <v>0</v>
      </c>
      <c r="P19" s="44">
        <f t="shared" si="3"/>
        <v>1</v>
      </c>
      <c r="Q19" s="44">
        <f>(SUMIFS('2-DATASET'!U:U,'2-DATASET'!G:G,'5-BOXSCORE_FULL_GAME'!A19))</f>
        <v>1</v>
      </c>
      <c r="R19" s="44">
        <f>(SUMIFS('2-DATASET'!V:V,'2-DATASET'!G:G,'5-BOXSCORE_FULL_GAME'!A19))</f>
        <v>0</v>
      </c>
      <c r="S19" s="44">
        <f>(SUMIFS('2-DATASET'!W:W,'2-DATASET'!G:G,'5-BOXSCORE_FULL_GAME'!A19))</f>
        <v>0</v>
      </c>
      <c r="T19" s="44">
        <f>(SUMIFS('2-DATASET'!X:X,'2-DATASET'!G:G,'5-BOXSCORE_FULL_GAME'!A19))</f>
        <v>0</v>
      </c>
      <c r="U19" s="44">
        <f>(SUMIFS('2-DATASET'!Y:Y,'2-DATASET'!G:G,'5-BOXSCORE_FULL_GAME'!A19))</f>
        <v>0</v>
      </c>
      <c r="V19" s="44">
        <f>(SUMIFS('2-DATASET'!K:K,'2-DATASET'!I:I,"Dunk",'2-DATASET'!G:G,'5-BOXSCORE_FULL_GAME'!A19))/2</f>
        <v>0</v>
      </c>
      <c r="W19" s="44">
        <f>(SUMIFS('2-DATASET'!Z:Z,'2-DATASET'!G:G,'5-BOXSCORE_FULL_GAME'!A19))</f>
        <v>1</v>
      </c>
      <c r="X19" s="44">
        <f>(SUMIFS('2-DATASET'!AA:AA,'2-DATASET'!G:G,'5-BOXSCORE_FULL_GAME'!A19))</f>
        <v>1</v>
      </c>
      <c r="Y19" s="44">
        <f t="shared" si="4"/>
        <v>7</v>
      </c>
    </row>
    <row r="20" spans="1:25" x14ac:dyDescent="0.35">
      <c r="A20" s="3" t="s">
        <v>74</v>
      </c>
      <c r="B20" s="3" t="s">
        <v>75</v>
      </c>
      <c r="C20" s="12">
        <f>SUMIF('2-DATASET'!G:G,'5-BOXSCORE_FULL_GAME'!A20,'2-DATASET'!AE:AE)</f>
        <v>2.9513888888888845E-3</v>
      </c>
      <c r="D20" s="5">
        <f>SUMIF('2-DATASET'!G:G,'5-BOXSCORE_FULL_GAME'!A20,'2-DATASET'!M:M)</f>
        <v>0</v>
      </c>
      <c r="E20" s="5">
        <f>(SUMIFS('2-DATASET'!K:K,'2-DATASET'!K:K,2,'2-DATASET'!L:L,1,'2-DATASET'!G:G,'5-BOXSCORE_FULL_GAME'!A20))/2</f>
        <v>0</v>
      </c>
      <c r="F20" s="5">
        <f>(SUMIFS('2-DATASET'!K:K,'2-DATASET'!K:K,2,'2-DATASET'!G:G,'5-BOXSCORE_FULL_GAME'!A20))/2</f>
        <v>0</v>
      </c>
      <c r="G20" s="34">
        <f t="shared" si="0"/>
        <v>0</v>
      </c>
      <c r="H20" s="5">
        <f>(SUMIFS('2-DATASET'!K:K,'2-DATASET'!K:K,3,'2-DATASET'!L:L,1,'2-DATASET'!G:G,'5-BOXSCORE_FULL_GAME'!A20))/3</f>
        <v>0</v>
      </c>
      <c r="I20" s="5">
        <f>(SUMIFS('2-DATASET'!K:K,'2-DATASET'!K:K,3,'2-DATASET'!G:G,'5-BOXSCORE_FULL_GAME'!A20))/3</f>
        <v>0</v>
      </c>
      <c r="J20" s="34">
        <f t="shared" si="1"/>
        <v>0</v>
      </c>
      <c r="K20" s="5">
        <f>(SUMIFS('2-DATASET'!K:K,'2-DATASET'!K:K,1,'2-DATASET'!L:L,1,'2-DATASET'!G:G,'5-BOXSCORE_FULL_GAME'!A20))/1</f>
        <v>0</v>
      </c>
      <c r="L20" s="5">
        <f>(SUMIFS('2-DATASET'!K:K,'2-DATASET'!K:K,1,'2-DATASET'!G:G,'5-BOXSCORE_FULL_GAME'!A20))/1</f>
        <v>0</v>
      </c>
      <c r="M20" s="34">
        <f t="shared" si="2"/>
        <v>0</v>
      </c>
      <c r="N20" s="5">
        <f>(SUMIFS('2-DATASET'!T:T,'2-DATASET'!G:G,'5-BOXSCORE_FULL_GAME'!A20))</f>
        <v>0</v>
      </c>
      <c r="O20" s="5">
        <f>(SUMIFS('2-DATASET'!S:S,'2-DATASET'!G:G,'5-BOXSCORE_FULL_GAME'!A20))</f>
        <v>0</v>
      </c>
      <c r="P20" s="5">
        <f t="shared" si="3"/>
        <v>0</v>
      </c>
      <c r="Q20" s="5">
        <f>(SUMIFS('2-DATASET'!U:U,'2-DATASET'!G:G,'5-BOXSCORE_FULL_GAME'!A20))</f>
        <v>0</v>
      </c>
      <c r="R20" s="5">
        <f>(SUMIFS('2-DATASET'!V:V,'2-DATASET'!G:G,'5-BOXSCORE_FULL_GAME'!A20))</f>
        <v>0</v>
      </c>
      <c r="S20" s="5">
        <f>(SUMIFS('2-DATASET'!W:W,'2-DATASET'!G:G,'5-BOXSCORE_FULL_GAME'!A20))</f>
        <v>0</v>
      </c>
      <c r="T20" s="5">
        <f>(SUMIFS('2-DATASET'!X:X,'2-DATASET'!G:G,'5-BOXSCORE_FULL_GAME'!A20))</f>
        <v>0</v>
      </c>
      <c r="U20" s="5">
        <f>(SUMIFS('2-DATASET'!Y:Y,'2-DATASET'!G:G,'5-BOXSCORE_FULL_GAME'!A20))</f>
        <v>0</v>
      </c>
      <c r="V20" s="5">
        <f>(SUMIFS('2-DATASET'!K:K,'2-DATASET'!I:I,"Dunk",'2-DATASET'!G:G,'5-BOXSCORE_FULL_GAME'!A20))/2</f>
        <v>0</v>
      </c>
      <c r="W20" s="5">
        <f>(SUMIFS('2-DATASET'!Z:Z,'2-DATASET'!G:G,'5-BOXSCORE_FULL_GAME'!A20))</f>
        <v>1</v>
      </c>
      <c r="X20" s="5">
        <f>(SUMIFS('2-DATASET'!AA:AA,'2-DATASET'!G:G,'5-BOXSCORE_FULL_GAME'!A20))</f>
        <v>0</v>
      </c>
      <c r="Y20" s="5">
        <f t="shared" si="4"/>
        <v>-1</v>
      </c>
    </row>
    <row r="21" spans="1:25" x14ac:dyDescent="0.35">
      <c r="A21" s="3" t="s">
        <v>20</v>
      </c>
      <c r="B21" s="3" t="s">
        <v>21</v>
      </c>
      <c r="C21" s="12">
        <f>SUMIF('2-DATASET'!G:G,'5-BOXSCORE_FULL_GAME'!A21,'2-DATASET'!AE:AE)</f>
        <v>2.9513888888888888E-3</v>
      </c>
      <c r="D21" s="5">
        <f>SUMIF('2-DATASET'!G:G,'5-BOXSCORE_FULL_GAME'!A21,'2-DATASET'!M:M)</f>
        <v>4</v>
      </c>
      <c r="E21" s="5">
        <f>(SUMIFS('2-DATASET'!K:K,'2-DATASET'!K:K,2,'2-DATASET'!L:L,1,'2-DATASET'!G:G,'5-BOXSCORE_FULL_GAME'!A21))/2</f>
        <v>1</v>
      </c>
      <c r="F21" s="5">
        <f>(SUMIFS('2-DATASET'!K:K,'2-DATASET'!K:K,2,'2-DATASET'!G:G,'5-BOXSCORE_FULL_GAME'!A21))/2</f>
        <v>1</v>
      </c>
      <c r="G21" s="34">
        <f t="shared" si="0"/>
        <v>1</v>
      </c>
      <c r="H21" s="5">
        <f>(SUMIFS('2-DATASET'!K:K,'2-DATASET'!K:K,3,'2-DATASET'!L:L,1,'2-DATASET'!G:G,'5-BOXSCORE_FULL_GAME'!A21))/3</f>
        <v>0</v>
      </c>
      <c r="I21" s="5">
        <f>(SUMIFS('2-DATASET'!K:K,'2-DATASET'!K:K,3,'2-DATASET'!G:G,'5-BOXSCORE_FULL_GAME'!A21))/3</f>
        <v>0</v>
      </c>
      <c r="J21" s="34">
        <f t="shared" si="1"/>
        <v>0</v>
      </c>
      <c r="K21" s="5">
        <f>(SUMIFS('2-DATASET'!K:K,'2-DATASET'!K:K,1,'2-DATASET'!L:L,1,'2-DATASET'!G:G,'5-BOXSCORE_FULL_GAME'!A21))/1</f>
        <v>2</v>
      </c>
      <c r="L21" s="5">
        <f>(SUMIFS('2-DATASET'!K:K,'2-DATASET'!K:K,1,'2-DATASET'!G:G,'5-BOXSCORE_FULL_GAME'!A21))/1</f>
        <v>2</v>
      </c>
      <c r="M21" s="34">
        <f t="shared" si="2"/>
        <v>1</v>
      </c>
      <c r="N21" s="5">
        <f>(SUMIFS('2-DATASET'!T:T,'2-DATASET'!G:G,'5-BOXSCORE_FULL_GAME'!A21))</f>
        <v>1</v>
      </c>
      <c r="O21" s="5">
        <f>(SUMIFS('2-DATASET'!S:S,'2-DATASET'!G:G,'5-BOXSCORE_FULL_GAME'!A21))</f>
        <v>0</v>
      </c>
      <c r="P21" s="5">
        <f t="shared" si="3"/>
        <v>1</v>
      </c>
      <c r="Q21" s="5">
        <f>(SUMIFS('2-DATASET'!U:U,'2-DATASET'!G:G,'5-BOXSCORE_FULL_GAME'!A21))</f>
        <v>1</v>
      </c>
      <c r="R21" s="5">
        <f>(SUMIFS('2-DATASET'!V:V,'2-DATASET'!G:G,'5-BOXSCORE_FULL_GAME'!A21))</f>
        <v>0</v>
      </c>
      <c r="S21" s="5">
        <f>(SUMIFS('2-DATASET'!W:W,'2-DATASET'!G:G,'5-BOXSCORE_FULL_GAME'!A21))</f>
        <v>0</v>
      </c>
      <c r="T21" s="5">
        <f>(SUMIFS('2-DATASET'!X:X,'2-DATASET'!G:G,'5-BOXSCORE_FULL_GAME'!A21))</f>
        <v>0</v>
      </c>
      <c r="U21" s="5">
        <f>(SUMIFS('2-DATASET'!Y:Y,'2-DATASET'!G:G,'5-BOXSCORE_FULL_GAME'!A21))</f>
        <v>0</v>
      </c>
      <c r="V21" s="5">
        <f>(SUMIFS('2-DATASET'!K:K,'2-DATASET'!I:I,"Dunk",'2-DATASET'!G:G,'5-BOXSCORE_FULL_GAME'!A21))/2</f>
        <v>0</v>
      </c>
      <c r="W21" s="5">
        <f>(SUMIFS('2-DATASET'!Z:Z,'2-DATASET'!G:G,'5-BOXSCORE_FULL_GAME'!A21))</f>
        <v>0</v>
      </c>
      <c r="X21" s="5">
        <f>(SUMIFS('2-DATASET'!AA:AA,'2-DATASET'!G:G,'5-BOXSCORE_FULL_GAME'!A21))</f>
        <v>2</v>
      </c>
      <c r="Y21" s="5">
        <f t="shared" si="4"/>
        <v>8</v>
      </c>
    </row>
    <row r="22" spans="1:25" s="44" customFormat="1" x14ac:dyDescent="0.35">
      <c r="A22" s="22" t="s">
        <v>22</v>
      </c>
      <c r="B22" s="22" t="s">
        <v>23</v>
      </c>
      <c r="C22" s="32">
        <f>SUMIF('2-DATASET'!G:G,'5-BOXSCORE_FULL_GAME'!A22,'2-DATASET'!AE:AE)</f>
        <v>2.2442129629629628E-2</v>
      </c>
      <c r="D22" s="44">
        <f>SUMIF('2-DATASET'!G:G,'5-BOXSCORE_FULL_GAME'!A22,'2-DATASET'!M:M)</f>
        <v>0</v>
      </c>
      <c r="E22" s="44">
        <f>(SUMIFS('2-DATASET'!K:K,'2-DATASET'!K:K,2,'2-DATASET'!L:L,1,'2-DATASET'!G:G,'5-BOXSCORE_FULL_GAME'!A22))/2</f>
        <v>0</v>
      </c>
      <c r="F22" s="44">
        <f>(SUMIFS('2-DATASET'!K:K,'2-DATASET'!K:K,2,'2-DATASET'!G:G,'5-BOXSCORE_FULL_GAME'!A22))/2</f>
        <v>1</v>
      </c>
      <c r="G22" s="45">
        <f t="shared" si="0"/>
        <v>0</v>
      </c>
      <c r="H22" s="44">
        <f>(SUMIFS('2-DATASET'!K:K,'2-DATASET'!K:K,3,'2-DATASET'!L:L,1,'2-DATASET'!G:G,'5-BOXSCORE_FULL_GAME'!A22))/3</f>
        <v>0</v>
      </c>
      <c r="I22" s="44">
        <f>(SUMIFS('2-DATASET'!K:K,'2-DATASET'!K:K,3,'2-DATASET'!G:G,'5-BOXSCORE_FULL_GAME'!A22))/3</f>
        <v>0</v>
      </c>
      <c r="J22" s="45">
        <f t="shared" si="1"/>
        <v>0</v>
      </c>
      <c r="K22" s="44">
        <f>(SUMIFS('2-DATASET'!K:K,'2-DATASET'!K:K,1,'2-DATASET'!L:L,1,'2-DATASET'!G:G,'5-BOXSCORE_FULL_GAME'!A22))/1</f>
        <v>0</v>
      </c>
      <c r="L22" s="44">
        <f>(SUMIFS('2-DATASET'!K:K,'2-DATASET'!K:K,1,'2-DATASET'!G:G,'5-BOXSCORE_FULL_GAME'!A22))/1</f>
        <v>0</v>
      </c>
      <c r="M22" s="45">
        <f t="shared" si="2"/>
        <v>0</v>
      </c>
      <c r="N22" s="44">
        <f>(SUMIFS('2-DATASET'!T:T,'2-DATASET'!G:G,'5-BOXSCORE_FULL_GAME'!A22))</f>
        <v>0</v>
      </c>
      <c r="O22" s="44">
        <f>(SUMIFS('2-DATASET'!S:S,'2-DATASET'!G:G,'5-BOXSCORE_FULL_GAME'!A22))</f>
        <v>0</v>
      </c>
      <c r="P22" s="44">
        <f t="shared" si="3"/>
        <v>0</v>
      </c>
      <c r="Q22" s="44">
        <f>(SUMIFS('2-DATASET'!U:U,'2-DATASET'!G:G,'5-BOXSCORE_FULL_GAME'!A22))</f>
        <v>0</v>
      </c>
      <c r="R22" s="44">
        <f>(SUMIFS('2-DATASET'!V:V,'2-DATASET'!G:G,'5-BOXSCORE_FULL_GAME'!A22))</f>
        <v>0</v>
      </c>
      <c r="S22" s="44">
        <f>(SUMIFS('2-DATASET'!W:W,'2-DATASET'!G:G,'5-BOXSCORE_FULL_GAME'!A22))</f>
        <v>0</v>
      </c>
      <c r="T22" s="44">
        <f>(SUMIFS('2-DATASET'!X:X,'2-DATASET'!G:G,'5-BOXSCORE_FULL_GAME'!A22))</f>
        <v>0</v>
      </c>
      <c r="U22" s="44">
        <f>(SUMIFS('2-DATASET'!Y:Y,'2-DATASET'!G:G,'5-BOXSCORE_FULL_GAME'!A22))</f>
        <v>0</v>
      </c>
      <c r="V22" s="44">
        <f>(SUMIFS('2-DATASET'!K:K,'2-DATASET'!I:I,"Dunk",'2-DATASET'!G:G,'5-BOXSCORE_FULL_GAME'!A22))/2</f>
        <v>0</v>
      </c>
      <c r="W22" s="44">
        <f>(SUMIFS('2-DATASET'!Z:Z,'2-DATASET'!G:G,'5-BOXSCORE_FULL_GAME'!A22))</f>
        <v>0</v>
      </c>
      <c r="X22" s="44">
        <f>(SUMIFS('2-DATASET'!AA:AA,'2-DATASET'!G:G,'5-BOXSCORE_FULL_GAME'!A22))</f>
        <v>0</v>
      </c>
      <c r="Y22" s="44">
        <f t="shared" si="4"/>
        <v>-1</v>
      </c>
    </row>
    <row r="23" spans="1:25" x14ac:dyDescent="0.35">
      <c r="A23" s="3" t="s">
        <v>24</v>
      </c>
      <c r="B23" s="3" t="s">
        <v>76</v>
      </c>
      <c r="C23" s="12">
        <f>SUMIF('2-DATASET'!G:G,'5-BOXSCORE_FULL_GAME'!A23,'2-DATASET'!AE:AE)</f>
        <v>2.3842592592592587E-3</v>
      </c>
      <c r="D23" s="5">
        <f>SUMIF('2-DATASET'!G:G,'5-BOXSCORE_FULL_GAME'!A23,'2-DATASET'!M:M)</f>
        <v>2</v>
      </c>
      <c r="E23" s="5">
        <f>(SUMIFS('2-DATASET'!K:K,'2-DATASET'!K:K,2,'2-DATASET'!L:L,1,'2-DATASET'!G:G,'5-BOXSCORE_FULL_GAME'!A23))/2</f>
        <v>0</v>
      </c>
      <c r="F23" s="5">
        <f>(SUMIFS('2-DATASET'!K:K,'2-DATASET'!K:K,2,'2-DATASET'!G:G,'5-BOXSCORE_FULL_GAME'!A23))/2</f>
        <v>1</v>
      </c>
      <c r="G23" s="34">
        <f t="shared" si="0"/>
        <v>0</v>
      </c>
      <c r="H23" s="5">
        <f>(SUMIFS('2-DATASET'!K:K,'2-DATASET'!K:K,3,'2-DATASET'!L:L,1,'2-DATASET'!G:G,'5-BOXSCORE_FULL_GAME'!A23))/3</f>
        <v>0</v>
      </c>
      <c r="I23" s="5">
        <f>(SUMIFS('2-DATASET'!K:K,'2-DATASET'!K:K,3,'2-DATASET'!G:G,'5-BOXSCORE_FULL_GAME'!A23))/3</f>
        <v>1</v>
      </c>
      <c r="J23" s="34">
        <f t="shared" si="1"/>
        <v>0</v>
      </c>
      <c r="K23" s="5">
        <f>(SUMIFS('2-DATASET'!K:K,'2-DATASET'!K:K,1,'2-DATASET'!L:L,1,'2-DATASET'!G:G,'5-BOXSCORE_FULL_GAME'!A23))/1</f>
        <v>2</v>
      </c>
      <c r="L23" s="5">
        <f>(SUMIFS('2-DATASET'!K:K,'2-DATASET'!K:K,1,'2-DATASET'!G:G,'5-BOXSCORE_FULL_GAME'!A23))/1</f>
        <v>3</v>
      </c>
      <c r="M23" s="34">
        <f t="shared" si="2"/>
        <v>0.66666666666666663</v>
      </c>
      <c r="N23" s="5">
        <f>(SUMIFS('2-DATASET'!T:T,'2-DATASET'!G:G,'5-BOXSCORE_FULL_GAME'!A23))</f>
        <v>0</v>
      </c>
      <c r="O23" s="5">
        <f>(SUMIFS('2-DATASET'!S:S,'2-DATASET'!G:G,'5-BOXSCORE_FULL_GAME'!A23))</f>
        <v>0</v>
      </c>
      <c r="P23" s="5">
        <f t="shared" si="3"/>
        <v>0</v>
      </c>
      <c r="Q23" s="5">
        <f>(SUMIFS('2-DATASET'!U:U,'2-DATASET'!G:G,'5-BOXSCORE_FULL_GAME'!A23))</f>
        <v>0</v>
      </c>
      <c r="R23" s="5">
        <f>(SUMIFS('2-DATASET'!V:V,'2-DATASET'!G:G,'5-BOXSCORE_FULL_GAME'!A23))</f>
        <v>0</v>
      </c>
      <c r="S23" s="5">
        <f>(SUMIFS('2-DATASET'!W:W,'2-DATASET'!G:G,'5-BOXSCORE_FULL_GAME'!A23))</f>
        <v>0</v>
      </c>
      <c r="T23" s="5">
        <f>(SUMIFS('2-DATASET'!X:X,'2-DATASET'!G:G,'5-BOXSCORE_FULL_GAME'!A23))</f>
        <v>0</v>
      </c>
      <c r="U23" s="5">
        <f>(SUMIFS('2-DATASET'!Y:Y,'2-DATASET'!G:G,'5-BOXSCORE_FULL_GAME'!A23))</f>
        <v>1</v>
      </c>
      <c r="V23" s="5">
        <f>(SUMIFS('2-DATASET'!K:K,'2-DATASET'!I:I,"Dunk",'2-DATASET'!G:G,'5-BOXSCORE_FULL_GAME'!A23))/2</f>
        <v>0</v>
      </c>
      <c r="W23" s="5">
        <f>(SUMIFS('2-DATASET'!Z:Z,'2-DATASET'!G:G,'5-BOXSCORE_FULL_GAME'!A23))</f>
        <v>0</v>
      </c>
      <c r="X23" s="5">
        <f>(SUMIFS('2-DATASET'!AA:AA,'2-DATASET'!G:G,'5-BOXSCORE_FULL_GAME'!A23))</f>
        <v>1</v>
      </c>
      <c r="Y23" s="5">
        <f t="shared" si="4"/>
        <v>-1</v>
      </c>
    </row>
    <row r="24" spans="1:25" x14ac:dyDescent="0.35">
      <c r="A24" s="3" t="s">
        <v>45</v>
      </c>
      <c r="B24" s="3" t="s">
        <v>77</v>
      </c>
      <c r="C24" s="12">
        <f>SUMIF('2-DATASET'!G:G,'5-BOXSCORE_FULL_GAME'!A24,'2-DATASET'!AE:AE)</f>
        <v>3.1481481481481482E-3</v>
      </c>
      <c r="D24" s="5">
        <f>SUMIF('2-DATASET'!G:G,'5-BOXSCORE_FULL_GAME'!A24,'2-DATASET'!M:M)</f>
        <v>6</v>
      </c>
      <c r="E24" s="5">
        <f>(SUMIFS('2-DATASET'!K:K,'2-DATASET'!K:K,2,'2-DATASET'!L:L,1,'2-DATASET'!G:G,'5-BOXSCORE_FULL_GAME'!A24))/2</f>
        <v>2</v>
      </c>
      <c r="F24" s="5">
        <f>(SUMIFS('2-DATASET'!K:K,'2-DATASET'!K:K,2,'2-DATASET'!G:G,'5-BOXSCORE_FULL_GAME'!A24))/2</f>
        <v>2</v>
      </c>
      <c r="G24" s="34">
        <f t="shared" si="0"/>
        <v>1</v>
      </c>
      <c r="H24" s="5">
        <f>(SUMIFS('2-DATASET'!K:K,'2-DATASET'!K:K,3,'2-DATASET'!L:L,1,'2-DATASET'!G:G,'5-BOXSCORE_FULL_GAME'!A24))/3</f>
        <v>0</v>
      </c>
      <c r="I24" s="5">
        <f>(SUMIFS('2-DATASET'!K:K,'2-DATASET'!K:K,3,'2-DATASET'!G:G,'5-BOXSCORE_FULL_GAME'!A24))/3</f>
        <v>0</v>
      </c>
      <c r="J24" s="34">
        <f t="shared" si="1"/>
        <v>0</v>
      </c>
      <c r="K24" s="5">
        <f>(SUMIFS('2-DATASET'!K:K,'2-DATASET'!K:K,1,'2-DATASET'!L:L,1,'2-DATASET'!G:G,'5-BOXSCORE_FULL_GAME'!A24))/1</f>
        <v>2</v>
      </c>
      <c r="L24" s="5">
        <f>(SUMIFS('2-DATASET'!K:K,'2-DATASET'!K:K,1,'2-DATASET'!G:G,'5-BOXSCORE_FULL_GAME'!A24))/1</f>
        <v>2</v>
      </c>
      <c r="M24" s="34">
        <f t="shared" si="2"/>
        <v>1</v>
      </c>
      <c r="N24" s="5">
        <f>(SUMIFS('2-DATASET'!T:T,'2-DATASET'!G:G,'5-BOXSCORE_FULL_GAME'!A24))</f>
        <v>0</v>
      </c>
      <c r="O24" s="5">
        <f>(SUMIFS('2-DATASET'!S:S,'2-DATASET'!G:G,'5-BOXSCORE_FULL_GAME'!A24))</f>
        <v>1</v>
      </c>
      <c r="P24" s="5">
        <f t="shared" si="3"/>
        <v>1</v>
      </c>
      <c r="Q24" s="5">
        <f>(SUMIFS('2-DATASET'!U:U,'2-DATASET'!G:G,'5-BOXSCORE_FULL_GAME'!A24))</f>
        <v>0</v>
      </c>
      <c r="R24" s="5">
        <f>(SUMIFS('2-DATASET'!V:V,'2-DATASET'!G:G,'5-BOXSCORE_FULL_GAME'!A24))</f>
        <v>1</v>
      </c>
      <c r="S24" s="5">
        <f>(SUMIFS('2-DATASET'!W:W,'2-DATASET'!G:G,'5-BOXSCORE_FULL_GAME'!A24))</f>
        <v>1</v>
      </c>
      <c r="T24" s="5">
        <f>(SUMIFS('2-DATASET'!X:X,'2-DATASET'!G:G,'5-BOXSCORE_FULL_GAME'!A24))</f>
        <v>0</v>
      </c>
      <c r="U24" s="5">
        <f>(SUMIFS('2-DATASET'!Y:Y,'2-DATASET'!G:G,'5-BOXSCORE_FULL_GAME'!A24))</f>
        <v>0</v>
      </c>
      <c r="V24" s="5">
        <f>(SUMIFS('2-DATASET'!K:K,'2-DATASET'!I:I,"Dunk",'2-DATASET'!G:G,'5-BOXSCORE_FULL_GAME'!A24))/2</f>
        <v>0</v>
      </c>
      <c r="W24" s="5">
        <f>(SUMIFS('2-DATASET'!Z:Z,'2-DATASET'!G:G,'5-BOXSCORE_FULL_GAME'!A24))</f>
        <v>2</v>
      </c>
      <c r="X24" s="5">
        <f>(SUMIFS('2-DATASET'!AA:AA,'2-DATASET'!G:G,'5-BOXSCORE_FULL_GAME'!A24))</f>
        <v>2</v>
      </c>
      <c r="Y24" s="5">
        <f t="shared" si="4"/>
        <v>7</v>
      </c>
    </row>
    <row r="25" spans="1:25" x14ac:dyDescent="0.35">
      <c r="A25" s="3" t="s">
        <v>25</v>
      </c>
      <c r="B25" s="3" t="s">
        <v>26</v>
      </c>
      <c r="C25" s="12">
        <f>SUMIF('2-DATASET'!G:G,'5-BOXSCORE_FULL_GAME'!A25,'2-DATASET'!AE:AE)</f>
        <v>2.2453703703703698E-3</v>
      </c>
      <c r="D25" s="5">
        <f>SUMIF('2-DATASET'!G:G,'5-BOXSCORE_FULL_GAME'!A25,'2-DATASET'!M:M)</f>
        <v>4</v>
      </c>
      <c r="E25" s="5">
        <f>(SUMIFS('2-DATASET'!K:K,'2-DATASET'!K:K,2,'2-DATASET'!L:L,1,'2-DATASET'!G:G,'5-BOXSCORE_FULL_GAME'!A25))/2</f>
        <v>2</v>
      </c>
      <c r="F25" s="5">
        <f>(SUMIFS('2-DATASET'!K:K,'2-DATASET'!K:K,2,'2-DATASET'!G:G,'5-BOXSCORE_FULL_GAME'!A25))/2</f>
        <v>2</v>
      </c>
      <c r="G25" s="34">
        <f t="shared" si="0"/>
        <v>1</v>
      </c>
      <c r="H25" s="5">
        <f>(SUMIFS('2-DATASET'!K:K,'2-DATASET'!K:K,3,'2-DATASET'!L:L,1,'2-DATASET'!G:G,'5-BOXSCORE_FULL_GAME'!A25))/3</f>
        <v>0</v>
      </c>
      <c r="I25" s="5">
        <f>(SUMIFS('2-DATASET'!K:K,'2-DATASET'!K:K,3,'2-DATASET'!G:G,'5-BOXSCORE_FULL_GAME'!A25))/3</f>
        <v>0</v>
      </c>
      <c r="J25" s="34">
        <f t="shared" si="1"/>
        <v>0</v>
      </c>
      <c r="K25" s="5">
        <f>(SUMIFS('2-DATASET'!K:K,'2-DATASET'!K:K,1,'2-DATASET'!L:L,1,'2-DATASET'!G:G,'5-BOXSCORE_FULL_GAME'!A25))/1</f>
        <v>0</v>
      </c>
      <c r="L25" s="5">
        <f>(SUMIFS('2-DATASET'!K:K,'2-DATASET'!K:K,1,'2-DATASET'!G:G,'5-BOXSCORE_FULL_GAME'!A25))/1</f>
        <v>0</v>
      </c>
      <c r="M25" s="34">
        <f t="shared" si="2"/>
        <v>0</v>
      </c>
      <c r="N25" s="5">
        <f>(SUMIFS('2-DATASET'!T:T,'2-DATASET'!G:G,'5-BOXSCORE_FULL_GAME'!A25))</f>
        <v>0</v>
      </c>
      <c r="O25" s="5">
        <f>(SUMIFS('2-DATASET'!S:S,'2-DATASET'!G:G,'5-BOXSCORE_FULL_GAME'!A25))</f>
        <v>0</v>
      </c>
      <c r="P25" s="5">
        <f t="shared" si="3"/>
        <v>0</v>
      </c>
      <c r="Q25" s="5">
        <f>(SUMIFS('2-DATASET'!U:U,'2-DATASET'!G:G,'5-BOXSCORE_FULL_GAME'!A25))</f>
        <v>0</v>
      </c>
      <c r="R25" s="5">
        <f>(SUMIFS('2-DATASET'!V:V,'2-DATASET'!G:G,'5-BOXSCORE_FULL_GAME'!A25))</f>
        <v>0</v>
      </c>
      <c r="S25" s="5">
        <f>(SUMIFS('2-DATASET'!W:W,'2-DATASET'!G:G,'5-BOXSCORE_FULL_GAME'!A25))</f>
        <v>0</v>
      </c>
      <c r="T25" s="5">
        <f>(SUMIFS('2-DATASET'!X:X,'2-DATASET'!G:G,'5-BOXSCORE_FULL_GAME'!A25))</f>
        <v>0</v>
      </c>
      <c r="U25" s="5">
        <f>(SUMIFS('2-DATASET'!Y:Y,'2-DATASET'!G:G,'5-BOXSCORE_FULL_GAME'!A25))</f>
        <v>0</v>
      </c>
      <c r="V25" s="5">
        <f>(SUMIFS('2-DATASET'!K:K,'2-DATASET'!I:I,"Dunk",'2-DATASET'!G:G,'5-BOXSCORE_FULL_GAME'!A25))/2</f>
        <v>1</v>
      </c>
      <c r="W25" s="5">
        <f>(SUMIFS('2-DATASET'!Z:Z,'2-DATASET'!G:G,'5-BOXSCORE_FULL_GAME'!A25))</f>
        <v>2</v>
      </c>
      <c r="X25" s="5">
        <f>(SUMIFS('2-DATASET'!AA:AA,'2-DATASET'!G:G,'5-BOXSCORE_FULL_GAME'!A25))</f>
        <v>0</v>
      </c>
      <c r="Y25" s="5">
        <f t="shared" si="4"/>
        <v>2</v>
      </c>
    </row>
    <row r="26" spans="1:25" x14ac:dyDescent="0.35">
      <c r="A26" s="3" t="s">
        <v>38</v>
      </c>
      <c r="B26" s="3" t="s">
        <v>37</v>
      </c>
      <c r="C26" s="12">
        <f>SUMIF('2-DATASET'!G:G,'5-BOXSCORE_FULL_GAME'!A26,'2-DATASET'!AE:AE)</f>
        <v>2.9513888888888888E-3</v>
      </c>
      <c r="D26" s="5">
        <f>SUMIF('2-DATASET'!G:G,'5-BOXSCORE_FULL_GAME'!A26,'2-DATASET'!M:M)</f>
        <v>0</v>
      </c>
      <c r="E26" s="5">
        <f>(SUMIFS('2-DATASET'!K:K,'2-DATASET'!K:K,2,'2-DATASET'!L:L,1,'2-DATASET'!G:G,'5-BOXSCORE_FULL_GAME'!A26))/2</f>
        <v>0</v>
      </c>
      <c r="F26" s="5">
        <f>(SUMIFS('2-DATASET'!K:K,'2-DATASET'!K:K,2,'2-DATASET'!G:G,'5-BOXSCORE_FULL_GAME'!A26))/2</f>
        <v>0</v>
      </c>
      <c r="G26" s="34">
        <f t="shared" si="0"/>
        <v>0</v>
      </c>
      <c r="H26" s="5">
        <f>(SUMIFS('2-DATASET'!K:K,'2-DATASET'!K:K,3,'2-DATASET'!L:L,1,'2-DATASET'!G:G,'5-BOXSCORE_FULL_GAME'!A26))/3</f>
        <v>0</v>
      </c>
      <c r="I26" s="5">
        <f>(SUMIFS('2-DATASET'!K:K,'2-DATASET'!K:K,3,'2-DATASET'!G:G,'5-BOXSCORE_FULL_GAME'!A26))/3</f>
        <v>0</v>
      </c>
      <c r="J26" s="34">
        <f t="shared" si="1"/>
        <v>0</v>
      </c>
      <c r="K26" s="5">
        <f>(SUMIFS('2-DATASET'!K:K,'2-DATASET'!K:K,1,'2-DATASET'!L:L,1,'2-DATASET'!G:G,'5-BOXSCORE_FULL_GAME'!A26))/1</f>
        <v>0</v>
      </c>
      <c r="L26" s="5">
        <f>(SUMIFS('2-DATASET'!K:K,'2-DATASET'!K:K,1,'2-DATASET'!G:G,'5-BOXSCORE_FULL_GAME'!A26))/1</f>
        <v>0</v>
      </c>
      <c r="M26" s="34">
        <f t="shared" si="2"/>
        <v>0</v>
      </c>
      <c r="N26" s="5">
        <f>(SUMIFS('2-DATASET'!T:T,'2-DATASET'!G:G,'5-BOXSCORE_FULL_GAME'!A26))</f>
        <v>0</v>
      </c>
      <c r="O26" s="5">
        <f>(SUMIFS('2-DATASET'!S:S,'2-DATASET'!G:G,'5-BOXSCORE_FULL_GAME'!A26))</f>
        <v>0</v>
      </c>
      <c r="P26" s="5">
        <f t="shared" si="3"/>
        <v>0</v>
      </c>
      <c r="Q26" s="5">
        <f>(SUMIFS('2-DATASET'!U:U,'2-DATASET'!G:G,'5-BOXSCORE_FULL_GAME'!A26))</f>
        <v>0</v>
      </c>
      <c r="R26" s="5">
        <f>(SUMIFS('2-DATASET'!V:V,'2-DATASET'!G:G,'5-BOXSCORE_FULL_GAME'!A26))</f>
        <v>1</v>
      </c>
      <c r="S26" s="5">
        <f>(SUMIFS('2-DATASET'!W:W,'2-DATASET'!G:G,'5-BOXSCORE_FULL_GAME'!A26))</f>
        <v>0</v>
      </c>
      <c r="T26" s="5">
        <f>(SUMIFS('2-DATASET'!X:X,'2-DATASET'!G:G,'5-BOXSCORE_FULL_GAME'!A26))</f>
        <v>1</v>
      </c>
      <c r="U26" s="5">
        <f>(SUMIFS('2-DATASET'!Y:Y,'2-DATASET'!G:G,'5-BOXSCORE_FULL_GAME'!A26))</f>
        <v>0</v>
      </c>
      <c r="V26" s="5">
        <f>(SUMIFS('2-DATASET'!K:K,'2-DATASET'!I:I,"Dunk",'2-DATASET'!G:G,'5-BOXSCORE_FULL_GAME'!A26))/2</f>
        <v>0</v>
      </c>
      <c r="W26" s="5">
        <f>(SUMIFS('2-DATASET'!Z:Z,'2-DATASET'!G:G,'5-BOXSCORE_FULL_GAME'!A26))</f>
        <v>0</v>
      </c>
      <c r="X26" s="5">
        <f>(SUMIFS('2-DATASET'!AA:AA,'2-DATASET'!G:G,'5-BOXSCORE_FULL_GAME'!A26))</f>
        <v>0</v>
      </c>
      <c r="Y26" s="5">
        <f t="shared" si="4"/>
        <v>0</v>
      </c>
    </row>
    <row r="27" spans="1:25" s="44" customFormat="1" x14ac:dyDescent="0.35">
      <c r="A27" s="22" t="s">
        <v>39</v>
      </c>
      <c r="B27" s="22" t="s">
        <v>40</v>
      </c>
      <c r="C27" s="32">
        <f>SUMIF('2-DATASET'!G:G,'5-BOXSCORE_FULL_GAME'!A27,'2-DATASET'!AE:AE)</f>
        <v>2.4826388888888887E-2</v>
      </c>
      <c r="D27" s="44">
        <f>SUMIF('2-DATASET'!G:G,'5-BOXSCORE_FULL_GAME'!A27,'2-DATASET'!M:M)</f>
        <v>2</v>
      </c>
      <c r="E27" s="44">
        <f>(SUMIFS('2-DATASET'!K:K,'2-DATASET'!K:K,2,'2-DATASET'!L:L,1,'2-DATASET'!G:G,'5-BOXSCORE_FULL_GAME'!A27))/2</f>
        <v>1</v>
      </c>
      <c r="F27" s="44">
        <f>(SUMIFS('2-DATASET'!K:K,'2-DATASET'!K:K,2,'2-DATASET'!G:G,'5-BOXSCORE_FULL_GAME'!A27))/2</f>
        <v>1</v>
      </c>
      <c r="G27" s="45">
        <f t="shared" si="0"/>
        <v>1</v>
      </c>
      <c r="H27" s="44">
        <f>(SUMIFS('2-DATASET'!K:K,'2-DATASET'!K:K,3,'2-DATASET'!L:L,1,'2-DATASET'!G:G,'5-BOXSCORE_FULL_GAME'!A27))/3</f>
        <v>0</v>
      </c>
      <c r="I27" s="44">
        <f>(SUMIFS('2-DATASET'!K:K,'2-DATASET'!K:K,3,'2-DATASET'!G:G,'5-BOXSCORE_FULL_GAME'!A27))/3</f>
        <v>0</v>
      </c>
      <c r="J27" s="45">
        <f t="shared" si="1"/>
        <v>0</v>
      </c>
      <c r="K27" s="44">
        <f>(SUMIFS('2-DATASET'!K:K,'2-DATASET'!K:K,1,'2-DATASET'!L:L,1,'2-DATASET'!G:G,'5-BOXSCORE_FULL_GAME'!A27))/1</f>
        <v>0</v>
      </c>
      <c r="L27" s="44">
        <f>(SUMIFS('2-DATASET'!K:K,'2-DATASET'!K:K,1,'2-DATASET'!G:G,'5-BOXSCORE_FULL_GAME'!A27))/1</f>
        <v>0</v>
      </c>
      <c r="M27" s="45">
        <f t="shared" si="2"/>
        <v>0</v>
      </c>
      <c r="N27" s="44">
        <f>(SUMIFS('2-DATASET'!T:T,'2-DATASET'!G:G,'5-BOXSCORE_FULL_GAME'!A27))</f>
        <v>0</v>
      </c>
      <c r="O27" s="44">
        <f>(SUMIFS('2-DATASET'!S:S,'2-DATASET'!G:G,'5-BOXSCORE_FULL_GAME'!A27))</f>
        <v>1</v>
      </c>
      <c r="P27" s="44">
        <f t="shared" si="3"/>
        <v>1</v>
      </c>
      <c r="Q27" s="44">
        <f>(SUMIFS('2-DATASET'!U:U,'2-DATASET'!G:G,'5-BOXSCORE_FULL_GAME'!A27))</f>
        <v>1</v>
      </c>
      <c r="R27" s="44">
        <f>(SUMIFS('2-DATASET'!V:V,'2-DATASET'!G:G,'5-BOXSCORE_FULL_GAME'!A27))</f>
        <v>1</v>
      </c>
      <c r="S27" s="44">
        <f>(SUMIFS('2-DATASET'!W:W,'2-DATASET'!G:G,'5-BOXSCORE_FULL_GAME'!A27))</f>
        <v>2</v>
      </c>
      <c r="T27" s="44">
        <f>(SUMIFS('2-DATASET'!X:X,'2-DATASET'!G:G,'5-BOXSCORE_FULL_GAME'!A27))</f>
        <v>0</v>
      </c>
      <c r="U27" s="44">
        <f>(SUMIFS('2-DATASET'!Y:Y,'2-DATASET'!G:G,'5-BOXSCORE_FULL_GAME'!A27))</f>
        <v>0</v>
      </c>
      <c r="V27" s="44">
        <f>(SUMIFS('2-DATASET'!K:K,'2-DATASET'!I:I,"Dunk",'2-DATASET'!G:G,'5-BOXSCORE_FULL_GAME'!A27))/2</f>
        <v>0</v>
      </c>
      <c r="W27" s="44">
        <f>(SUMIFS('2-DATASET'!Z:Z,'2-DATASET'!G:G,'5-BOXSCORE_FULL_GAME'!A27))</f>
        <v>0</v>
      </c>
      <c r="X27" s="44">
        <f>(SUMIFS('2-DATASET'!AA:AA,'2-DATASET'!G:G,'5-BOXSCORE_FULL_GAME'!A27))</f>
        <v>0</v>
      </c>
      <c r="Y27" s="44">
        <f t="shared" si="4"/>
        <v>5</v>
      </c>
    </row>
    <row r="28" spans="1:25" s="44" customFormat="1" x14ac:dyDescent="0.35">
      <c r="A28" s="22" t="s">
        <v>41</v>
      </c>
      <c r="B28" s="22" t="s">
        <v>42</v>
      </c>
      <c r="C28" s="32">
        <f>SUMIF('2-DATASET'!G:G,'5-BOXSCORE_FULL_GAME'!A28,'2-DATASET'!AE:AE)</f>
        <v>2.4826388888888887E-2</v>
      </c>
      <c r="D28" s="44">
        <f>SUMIF('2-DATASET'!G:G,'5-BOXSCORE_FULL_GAME'!A28,'2-DATASET'!M:M)</f>
        <v>0</v>
      </c>
      <c r="E28" s="44">
        <f>(SUMIFS('2-DATASET'!K:K,'2-DATASET'!K:K,2,'2-DATASET'!L:L,1,'2-DATASET'!G:G,'5-BOXSCORE_FULL_GAME'!A28))/2</f>
        <v>0</v>
      </c>
      <c r="F28" s="44">
        <f>(SUMIFS('2-DATASET'!K:K,'2-DATASET'!K:K,2,'2-DATASET'!G:G,'5-BOXSCORE_FULL_GAME'!A28))/2</f>
        <v>0</v>
      </c>
      <c r="G28" s="45">
        <f t="shared" si="0"/>
        <v>0</v>
      </c>
      <c r="H28" s="44">
        <f>(SUMIFS('2-DATASET'!K:K,'2-DATASET'!K:K,3,'2-DATASET'!L:L,1,'2-DATASET'!G:G,'5-BOXSCORE_FULL_GAME'!A28))/3</f>
        <v>0</v>
      </c>
      <c r="I28" s="44">
        <f>(SUMIFS('2-DATASET'!K:K,'2-DATASET'!K:K,3,'2-DATASET'!G:G,'5-BOXSCORE_FULL_GAME'!A28))/3</f>
        <v>0</v>
      </c>
      <c r="J28" s="45">
        <f t="shared" si="1"/>
        <v>0</v>
      </c>
      <c r="K28" s="44">
        <f>(SUMIFS('2-DATASET'!K:K,'2-DATASET'!K:K,1,'2-DATASET'!L:L,1,'2-DATASET'!G:G,'5-BOXSCORE_FULL_GAME'!A28))/1</f>
        <v>0</v>
      </c>
      <c r="L28" s="44">
        <f>(SUMIFS('2-DATASET'!K:K,'2-DATASET'!K:K,1,'2-DATASET'!G:G,'5-BOXSCORE_FULL_GAME'!A28))/1</f>
        <v>0</v>
      </c>
      <c r="M28" s="45">
        <f t="shared" si="2"/>
        <v>0</v>
      </c>
      <c r="N28" s="44">
        <f>(SUMIFS('2-DATASET'!T:T,'2-DATASET'!G:G,'5-BOXSCORE_FULL_GAME'!A28))</f>
        <v>0</v>
      </c>
      <c r="O28" s="44">
        <f>(SUMIFS('2-DATASET'!S:S,'2-DATASET'!G:G,'5-BOXSCORE_FULL_GAME'!A28))</f>
        <v>0</v>
      </c>
      <c r="P28" s="44">
        <f t="shared" si="3"/>
        <v>0</v>
      </c>
      <c r="Q28" s="44">
        <f>(SUMIFS('2-DATASET'!U:U,'2-DATASET'!G:G,'5-BOXSCORE_FULL_GAME'!A28))</f>
        <v>1</v>
      </c>
      <c r="R28" s="44">
        <f>(SUMIFS('2-DATASET'!V:V,'2-DATASET'!G:G,'5-BOXSCORE_FULL_GAME'!A28))</f>
        <v>0</v>
      </c>
      <c r="S28" s="44">
        <f>(SUMIFS('2-DATASET'!W:W,'2-DATASET'!G:G,'5-BOXSCORE_FULL_GAME'!A28))</f>
        <v>0</v>
      </c>
      <c r="T28" s="44">
        <f>(SUMIFS('2-DATASET'!X:X,'2-DATASET'!G:G,'5-BOXSCORE_FULL_GAME'!A28))</f>
        <v>0</v>
      </c>
      <c r="U28" s="44">
        <f>(SUMIFS('2-DATASET'!Y:Y,'2-DATASET'!G:G,'5-BOXSCORE_FULL_GAME'!A28))</f>
        <v>0</v>
      </c>
      <c r="V28" s="44">
        <f>(SUMIFS('2-DATASET'!K:K,'2-DATASET'!I:I,"Dunk",'2-DATASET'!G:G,'5-BOXSCORE_FULL_GAME'!A28))/2</f>
        <v>0</v>
      </c>
      <c r="W28" s="44">
        <f>(SUMIFS('2-DATASET'!Z:Z,'2-DATASET'!G:G,'5-BOXSCORE_FULL_GAME'!A28))</f>
        <v>0</v>
      </c>
      <c r="X28" s="44">
        <f>(SUMIFS('2-DATASET'!AA:AA,'2-DATASET'!G:G,'5-BOXSCORE_FULL_GAME'!A28))</f>
        <v>0</v>
      </c>
      <c r="Y28" s="44">
        <f t="shared" si="4"/>
        <v>1</v>
      </c>
    </row>
    <row r="29" spans="1:25" s="44" customFormat="1" x14ac:dyDescent="0.35">
      <c r="A29" s="22" t="s">
        <v>43</v>
      </c>
      <c r="B29" s="22" t="s">
        <v>44</v>
      </c>
      <c r="C29" s="32">
        <f>SUMIF('2-DATASET'!G:G,'5-BOXSCORE_FULL_GAME'!A29,'2-DATASET'!AE:AE)</f>
        <v>2.2384259259259257E-2</v>
      </c>
      <c r="D29" s="44">
        <f>SUMIF('2-DATASET'!G:G,'5-BOXSCORE_FULL_GAME'!A29,'2-DATASET'!M:M)</f>
        <v>2</v>
      </c>
      <c r="E29" s="44">
        <f>(SUMIFS('2-DATASET'!K:K,'2-DATASET'!K:K,2,'2-DATASET'!L:L,1,'2-DATASET'!G:G,'5-BOXSCORE_FULL_GAME'!A29))/2</f>
        <v>1</v>
      </c>
      <c r="F29" s="44">
        <f>(SUMIFS('2-DATASET'!K:K,'2-DATASET'!K:K,2,'2-DATASET'!G:G,'5-BOXSCORE_FULL_GAME'!A29))/2</f>
        <v>1</v>
      </c>
      <c r="G29" s="45">
        <f t="shared" si="0"/>
        <v>1</v>
      </c>
      <c r="H29" s="44">
        <f>(SUMIFS('2-DATASET'!K:K,'2-DATASET'!K:K,3,'2-DATASET'!L:L,1,'2-DATASET'!G:G,'5-BOXSCORE_FULL_GAME'!A29))/3</f>
        <v>0</v>
      </c>
      <c r="I29" s="44">
        <f>(SUMIFS('2-DATASET'!K:K,'2-DATASET'!K:K,3,'2-DATASET'!G:G,'5-BOXSCORE_FULL_GAME'!A29))/3</f>
        <v>0</v>
      </c>
      <c r="J29" s="45">
        <f t="shared" si="1"/>
        <v>0</v>
      </c>
      <c r="K29" s="44">
        <f>(SUMIFS('2-DATASET'!K:K,'2-DATASET'!K:K,1,'2-DATASET'!L:L,1,'2-DATASET'!G:G,'5-BOXSCORE_FULL_GAME'!A29))/1</f>
        <v>0</v>
      </c>
      <c r="L29" s="44">
        <f>(SUMIFS('2-DATASET'!K:K,'2-DATASET'!K:K,1,'2-DATASET'!G:G,'5-BOXSCORE_FULL_GAME'!A29))/1</f>
        <v>0</v>
      </c>
      <c r="M29" s="45">
        <f t="shared" si="2"/>
        <v>0</v>
      </c>
      <c r="N29" s="44">
        <f>(SUMIFS('2-DATASET'!T:T,'2-DATASET'!G:G,'5-BOXSCORE_FULL_GAME'!A29))</f>
        <v>0</v>
      </c>
      <c r="O29" s="44">
        <f>(SUMIFS('2-DATASET'!S:S,'2-DATASET'!G:G,'5-BOXSCORE_FULL_GAME'!A29))</f>
        <v>0</v>
      </c>
      <c r="P29" s="44">
        <f t="shared" si="3"/>
        <v>0</v>
      </c>
      <c r="Q29" s="44">
        <f>(SUMIFS('2-DATASET'!U:U,'2-DATASET'!G:G,'5-BOXSCORE_FULL_GAME'!A29))</f>
        <v>0</v>
      </c>
      <c r="R29" s="44">
        <f>(SUMIFS('2-DATASET'!V:V,'2-DATASET'!G:G,'5-BOXSCORE_FULL_GAME'!A29))</f>
        <v>0</v>
      </c>
      <c r="S29" s="44">
        <f>(SUMIFS('2-DATASET'!W:W,'2-DATASET'!G:G,'5-BOXSCORE_FULL_GAME'!A29))</f>
        <v>1</v>
      </c>
      <c r="T29" s="44">
        <f>(SUMIFS('2-DATASET'!X:X,'2-DATASET'!G:G,'5-BOXSCORE_FULL_GAME'!A29))</f>
        <v>1</v>
      </c>
      <c r="U29" s="44">
        <f>(SUMIFS('2-DATASET'!Y:Y,'2-DATASET'!G:G,'5-BOXSCORE_FULL_GAME'!A29))</f>
        <v>0</v>
      </c>
      <c r="V29" s="44">
        <f>(SUMIFS('2-DATASET'!K:K,'2-DATASET'!I:I,"Dunk",'2-DATASET'!G:G,'5-BOXSCORE_FULL_GAME'!A29))/2</f>
        <v>0</v>
      </c>
      <c r="W29" s="44">
        <f>(SUMIFS('2-DATASET'!Z:Z,'2-DATASET'!G:G,'5-BOXSCORE_FULL_GAME'!A29))</f>
        <v>0</v>
      </c>
      <c r="X29" s="44">
        <f>(SUMIFS('2-DATASET'!AA:AA,'2-DATASET'!G:G,'5-BOXSCORE_FULL_GAME'!A29))</f>
        <v>0</v>
      </c>
      <c r="Y29" s="44">
        <f t="shared" si="4"/>
        <v>4</v>
      </c>
    </row>
    <row r="30" spans="1:25" x14ac:dyDescent="0.35">
      <c r="A30" s="26" t="s">
        <v>121</v>
      </c>
      <c r="B30" s="26" t="s">
        <v>124</v>
      </c>
      <c r="C30" s="37"/>
      <c r="D30" s="36">
        <f>SUMIF('2-DATASET'!G:G,'5-BOXSCORE_FULL_GAME'!A30,'2-DATASET'!M:M)</f>
        <v>0</v>
      </c>
      <c r="E30" s="36">
        <f>(SUMIFS('2-DATASET'!K:K,'2-DATASET'!K:K,2,'2-DATASET'!L:L,1,'2-DATASET'!G:G,'5-BOXSCORE_FULL_GAME'!A30))/2</f>
        <v>0</v>
      </c>
      <c r="F30" s="36">
        <f>(SUMIFS('2-DATASET'!K:K,'2-DATASET'!K:K,2,'2-DATASET'!G:G,'5-BOXSCORE_FULL_GAME'!A30))/2</f>
        <v>0</v>
      </c>
      <c r="G30" s="38">
        <f t="shared" si="0"/>
        <v>0</v>
      </c>
      <c r="H30" s="36">
        <f>(SUMIFS('2-DATASET'!K:K,'2-DATASET'!K:K,3,'2-DATASET'!L:L,1,'2-DATASET'!G:G,'5-BOXSCORE_FULL_GAME'!A30))/3</f>
        <v>0</v>
      </c>
      <c r="I30" s="36">
        <f>(SUMIFS('2-DATASET'!K:K,'2-DATASET'!K:K,3,'2-DATASET'!G:G,'5-BOXSCORE_FULL_GAME'!A30))/3</f>
        <v>0</v>
      </c>
      <c r="J30" s="38">
        <f t="shared" si="1"/>
        <v>0</v>
      </c>
      <c r="K30" s="36">
        <f>(SUMIFS('2-DATASET'!K:K,'2-DATASET'!K:K,1,'2-DATASET'!L:L,1,'2-DATASET'!G:G,'5-BOXSCORE_FULL_GAME'!A30))/1</f>
        <v>0</v>
      </c>
      <c r="L30" s="36">
        <f>(SUMIFS('2-DATASET'!K:K,'2-DATASET'!K:K,1,'2-DATASET'!G:G,'5-BOXSCORE_FULL_GAME'!A30))/1</f>
        <v>0</v>
      </c>
      <c r="M30" s="38">
        <f t="shared" si="2"/>
        <v>0</v>
      </c>
      <c r="N30" s="36">
        <f>(SUMIFS('2-DATASET'!T:T,'2-DATASET'!G:G,'5-BOXSCORE_FULL_GAME'!A30))</f>
        <v>0</v>
      </c>
      <c r="O30" s="36">
        <f>(SUMIFS('2-DATASET'!S:S,'2-DATASET'!G:G,'5-BOXSCORE_FULL_GAME'!A30))</f>
        <v>1</v>
      </c>
      <c r="P30" s="36">
        <f t="shared" si="3"/>
        <v>1</v>
      </c>
      <c r="Q30" s="36">
        <f>(SUMIFS('2-DATASET'!U:U,'2-DATASET'!G:G,'5-BOXSCORE_FULL_GAME'!A30))</f>
        <v>0</v>
      </c>
      <c r="R30" s="36">
        <f>(SUMIFS('2-DATASET'!V:V,'2-DATASET'!G:G,'5-BOXSCORE_FULL_GAME'!A30))</f>
        <v>0</v>
      </c>
      <c r="S30" s="36">
        <f>(SUMIFS('2-DATASET'!W:W,'2-DATASET'!G:G,'5-BOXSCORE_FULL_GAME'!A30))</f>
        <v>0</v>
      </c>
      <c r="T30" s="36">
        <f>(SUMIFS('2-DATASET'!X:X,'2-DATASET'!G:G,'5-BOXSCORE_FULL_GAME'!A30))</f>
        <v>0</v>
      </c>
      <c r="U30" s="36">
        <f>(SUMIFS('2-DATASET'!Y:Y,'2-DATASET'!G:G,'5-BOXSCORE_FULL_GAME'!A30))</f>
        <v>0</v>
      </c>
      <c r="V30" s="36">
        <f>(SUMIFS('2-DATASET'!K:K,'2-DATASET'!I:I,"Dunk",'2-DATASET'!G:G,'5-BOXSCORE_FULL_GAME'!A30))/2</f>
        <v>0</v>
      </c>
      <c r="W30" s="36">
        <f>(SUMIFS('2-DATASET'!Z:Z,'2-DATASET'!G:G,'5-BOXSCORE_FULL_GAME'!A30))</f>
        <v>0</v>
      </c>
      <c r="X30" s="36">
        <f>(SUMIFS('2-DATASET'!AA:AA,'2-DATASET'!G:G,'5-BOXSCORE_FULL_GAME'!A30))</f>
        <v>0</v>
      </c>
      <c r="Y30" s="36">
        <f t="shared" si="4"/>
        <v>1</v>
      </c>
    </row>
    <row r="31" spans="1:25" s="4" customFormat="1" x14ac:dyDescent="0.35">
      <c r="A31" s="26"/>
      <c r="B31" s="26" t="s">
        <v>162</v>
      </c>
      <c r="C31" s="27">
        <f>SUM(C18:C29)</f>
        <v>0.13888888888888887</v>
      </c>
      <c r="D31" s="26">
        <f>SUM(D18:D30)</f>
        <v>27</v>
      </c>
      <c r="E31" s="26">
        <f>SUM(E18:E30)</f>
        <v>9</v>
      </c>
      <c r="F31" s="26">
        <f>SUM(F18:F30)</f>
        <v>12</v>
      </c>
      <c r="G31" s="40">
        <f t="shared" si="0"/>
        <v>0.75</v>
      </c>
      <c r="H31" s="26">
        <f>SUM(H18:H30)</f>
        <v>0</v>
      </c>
      <c r="I31" s="26">
        <f>SUM(I18:I30)</f>
        <v>2</v>
      </c>
      <c r="J31" s="40">
        <f t="shared" si="1"/>
        <v>0</v>
      </c>
      <c r="K31" s="26">
        <f>SUM(K18:K30)</f>
        <v>9</v>
      </c>
      <c r="L31" s="26">
        <f>SUM(L18:L30)</f>
        <v>11</v>
      </c>
      <c r="M31" s="40">
        <f t="shared" si="2"/>
        <v>0.81818181818181823</v>
      </c>
      <c r="N31" s="26">
        <f>SUM(N18:N30)</f>
        <v>2</v>
      </c>
      <c r="O31" s="26">
        <f>SUM(O18:O30)</f>
        <v>3</v>
      </c>
      <c r="P31" s="26">
        <f t="shared" si="3"/>
        <v>5</v>
      </c>
      <c r="Q31" s="26">
        <f t="shared" ref="Q31:X31" si="6">SUM(Q18:Q30)</f>
        <v>5</v>
      </c>
      <c r="R31" s="26">
        <f t="shared" si="6"/>
        <v>4</v>
      </c>
      <c r="S31" s="26">
        <f t="shared" si="6"/>
        <v>4</v>
      </c>
      <c r="T31" s="26">
        <f t="shared" si="6"/>
        <v>2</v>
      </c>
      <c r="U31" s="26">
        <f t="shared" si="6"/>
        <v>1</v>
      </c>
      <c r="V31" s="26">
        <f t="shared" si="6"/>
        <v>1</v>
      </c>
      <c r="W31" s="26">
        <f t="shared" si="6"/>
        <v>7</v>
      </c>
      <c r="X31" s="26">
        <f t="shared" si="6"/>
        <v>7</v>
      </c>
      <c r="Y31" s="26">
        <f t="shared" si="4"/>
        <v>31</v>
      </c>
    </row>
    <row r="32" spans="1:25" x14ac:dyDescent="0.35">
      <c r="B32" s="26" t="s">
        <v>164</v>
      </c>
      <c r="C32" s="42">
        <f>HOUR(C31)*60+MINUTE(C31)+SECOND(C31)/60</f>
        <v>200</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ADD21-1E34-4F00-9A31-E2392F897A82}">
  <dimension ref="A1:W242"/>
  <sheetViews>
    <sheetView zoomScale="60" zoomScaleNormal="31" workbookViewId="0">
      <selection activeCell="T3" sqref="T3"/>
    </sheetView>
  </sheetViews>
  <sheetFormatPr baseColWidth="10" defaultRowHeight="14.5" x14ac:dyDescent="0.35"/>
  <cols>
    <col min="1" max="1" width="13.81640625" style="16" customWidth="1"/>
    <col min="2" max="2" width="10.90625" style="16" customWidth="1"/>
    <col min="3" max="3" width="8.54296875" style="46" customWidth="1"/>
    <col min="4" max="4" width="8.7265625" style="16" customWidth="1"/>
    <col min="5" max="5" width="9.26953125" style="16" customWidth="1"/>
    <col min="6" max="6" width="12.6328125" style="16" customWidth="1"/>
    <col min="7" max="7" width="17.81640625" style="16" customWidth="1"/>
    <col min="8" max="8" width="18.90625" style="16" customWidth="1"/>
    <col min="9" max="9" width="19.36328125" style="16" customWidth="1"/>
    <col min="10" max="10" width="14.90625" style="16" customWidth="1"/>
    <col min="11" max="11" width="16" style="16" customWidth="1"/>
    <col min="12" max="12" width="17.54296875" style="16" customWidth="1"/>
    <col min="13" max="13" width="17.81640625" style="16" customWidth="1"/>
    <col min="14" max="14" width="15.7265625" style="16" customWidth="1"/>
    <col min="15" max="16" width="16.36328125" style="16" customWidth="1"/>
    <col min="17" max="17" width="15.7265625" style="16" customWidth="1"/>
    <col min="18" max="18" width="13.36328125" style="16" customWidth="1"/>
    <col min="19" max="19" width="25" style="16" customWidth="1"/>
    <col min="20" max="20" width="18.1796875" style="16" customWidth="1"/>
    <col min="21" max="21" width="17" style="16" customWidth="1"/>
    <col min="22" max="22" width="17.26953125" style="16" customWidth="1"/>
    <col min="23" max="23" width="14.54296875" style="50" customWidth="1"/>
    <col min="24" max="16384" width="10.90625" style="16"/>
  </cols>
  <sheetData>
    <row r="1" spans="1:23" s="15" customFormat="1" x14ac:dyDescent="0.35">
      <c r="A1" s="6" t="s">
        <v>47</v>
      </c>
      <c r="B1" s="6" t="s">
        <v>50</v>
      </c>
      <c r="C1" s="7" t="s">
        <v>54</v>
      </c>
      <c r="D1" s="8" t="s">
        <v>48</v>
      </c>
      <c r="E1" s="8" t="s">
        <v>49</v>
      </c>
      <c r="F1" s="6" t="s">
        <v>1</v>
      </c>
      <c r="G1" s="6" t="s">
        <v>0</v>
      </c>
      <c r="H1" s="8" t="s">
        <v>98</v>
      </c>
      <c r="I1" s="6" t="s">
        <v>51</v>
      </c>
      <c r="J1" s="6" t="s">
        <v>53</v>
      </c>
      <c r="K1" s="8" t="s">
        <v>93</v>
      </c>
      <c r="L1" s="8" t="s">
        <v>97</v>
      </c>
      <c r="M1" s="8" t="s">
        <v>92</v>
      </c>
      <c r="N1" s="15" t="s">
        <v>167</v>
      </c>
      <c r="O1" s="15" t="s">
        <v>168</v>
      </c>
      <c r="P1" s="15" t="s">
        <v>169</v>
      </c>
      <c r="Q1" s="15" t="s">
        <v>170</v>
      </c>
      <c r="R1" s="51" t="s">
        <v>171</v>
      </c>
      <c r="S1" s="51" t="s">
        <v>172</v>
      </c>
      <c r="W1" s="54"/>
    </row>
    <row r="2" spans="1:23" x14ac:dyDescent="0.35">
      <c r="A2" s="16">
        <v>1</v>
      </c>
      <c r="B2" s="16">
        <v>1</v>
      </c>
      <c r="C2" s="46">
        <v>6.9444444444444441E-3</v>
      </c>
      <c r="D2" s="16">
        <f>MINUTE(C2)</f>
        <v>10</v>
      </c>
      <c r="E2" s="16">
        <f>SECOND(C2)</f>
        <v>0</v>
      </c>
      <c r="F2" s="16" t="s">
        <v>16</v>
      </c>
      <c r="G2" s="16" t="s">
        <v>25</v>
      </c>
      <c r="H2" s="16" t="str">
        <f>_xlfn.XLOOKUP(G2,'1-Players'!$A$2:$A$27,'1-Players'!$D$2:$D$27,"")</f>
        <v>Atoumane Diagne</v>
      </c>
      <c r="I2" s="16" t="s">
        <v>81</v>
      </c>
      <c r="K2" s="16" t="str" cm="1">
        <f t="array" ref="K2">IFERROR(_xlfn.IFS(I2="Free Throw",1,I2="2-Point Shot",2,I2="Dunk",2,I2="3-Point Shot",3),"")</f>
        <v/>
      </c>
      <c r="L2" s="16" t="str" cm="1">
        <f t="array" ref="L2">IFERROR(_xlfn.IFS(J2="Made",1,J2="Missed",0),"")</f>
        <v/>
      </c>
      <c r="M2" s="16" t="str">
        <f>IFERROR(K2*L2,"")</f>
        <v/>
      </c>
      <c r="N2" s="16" t="str">
        <f>IF(AND(F2="MANRESA", L2=1), M2, "")</f>
        <v/>
      </c>
      <c r="O2" s="16" t="str">
        <f>IF(AND(F2="LLEIDA", L2=1), M2, "")</f>
        <v/>
      </c>
      <c r="P2" s="16">
        <f>IF(N2="",0,SUM($N$2:N2))</f>
        <v>0</v>
      </c>
      <c r="Q2" s="16" t="str">
        <f>IF(O2="","0",SUM($O$2:O2))</f>
        <v>0</v>
      </c>
      <c r="R2" s="52" t="str">
        <f>IF(OR(P2&lt;&gt;P1, Q2&lt;&gt;Q1), _xlfn.CONCAT("MAN ", P2, " - ", Q2, " LLE"),
   ""
)</f>
        <v>MAN 0 - 0 LLE</v>
      </c>
      <c r="S2" s="53">
        <f>IF(R2="","",C2)</f>
        <v>6.9444444444444441E-3</v>
      </c>
      <c r="T2" s="16" t="str" cm="1">
        <f t="array" ref="T2:W36">_xlfn._xlws.FILTER(P:S, R:R&lt;&gt;"")</f>
        <v>PTS_MAN_Acum</v>
      </c>
      <c r="U2" s="16" t="str">
        <v>PTS_Lleida_Acum</v>
      </c>
      <c r="V2" s="16" t="str">
        <v>MARCADOR</v>
      </c>
      <c r="W2" s="50" t="str">
        <v>Tiempo_Cambio_Marcador</v>
      </c>
    </row>
    <row r="3" spans="1:23" x14ac:dyDescent="0.35">
      <c r="A3" s="16">
        <v>1</v>
      </c>
      <c r="B3" s="16">
        <v>2</v>
      </c>
      <c r="C3" s="46">
        <v>6.9444444444444441E-3</v>
      </c>
      <c r="D3" s="16">
        <f t="shared" ref="D3:D66" si="0">MINUTE(C3)</f>
        <v>10</v>
      </c>
      <c r="E3" s="16">
        <f t="shared" ref="E3:E66" si="1">SECOND(C3)</f>
        <v>0</v>
      </c>
      <c r="F3" s="16" t="s">
        <v>16</v>
      </c>
      <c r="G3" s="16" t="s">
        <v>38</v>
      </c>
      <c r="H3" s="16" t="str">
        <f>_xlfn.XLOOKUP(G3,'1-Players'!$A$2:$A$27,'1-Players'!$D$2:$D$27,"")</f>
        <v>Mikel Sanz</v>
      </c>
      <c r="I3" s="16" t="s">
        <v>81</v>
      </c>
      <c r="K3" s="16" t="str" cm="1">
        <f t="array" ref="K3">IFERROR(_xlfn.IFS(I3="Free Throw",1,I3="2-Point Shot",2,I3="Dunk",2,I3="3-Point Shot",3),"")</f>
        <v/>
      </c>
      <c r="L3" s="16" t="str" cm="1">
        <f t="array" ref="L3">IFERROR(_xlfn.IFS(J3="Made",1,J3="Missed",0),"")</f>
        <v/>
      </c>
      <c r="M3" s="16" t="str">
        <f t="shared" ref="M3:M66" si="2">IFERROR(K3*L3,"")</f>
        <v/>
      </c>
      <c r="N3" s="16" t="str">
        <f t="shared" ref="N3:N66" si="3">IF(AND(F3="MANRESA", L3=1), M3, "")</f>
        <v/>
      </c>
      <c r="O3" s="16" t="str">
        <f t="shared" ref="O3:O66" si="4">IF(AND(F3="LLEIDA", L3=1), M3, "")</f>
        <v/>
      </c>
      <c r="P3" s="16">
        <f>IF(N3="",0,SUM($N$2:N3))</f>
        <v>0</v>
      </c>
      <c r="Q3" s="16" t="str">
        <f>IF(O3="","0",SUM($O$2:O3))</f>
        <v>0</v>
      </c>
      <c r="R3" s="52" t="str">
        <f t="shared" ref="R3:R66" si="5">IF(OR(P3&lt;&gt;P2, Q3&lt;&gt;Q2), _xlfn.CONCAT("MAN ", P3, " - ", Q3, " LLE"),
   ""
)</f>
        <v/>
      </c>
      <c r="S3" s="53" t="str">
        <f t="shared" ref="S3:S66" si="6">IF(R3="","",C3)</f>
        <v/>
      </c>
      <c r="T3" s="16">
        <v>0</v>
      </c>
      <c r="U3" s="16" t="str">
        <v>0</v>
      </c>
      <c r="V3" s="16" t="str">
        <v>MAN 0 - 0 LLE</v>
      </c>
      <c r="W3" s="50">
        <v>6.9444444444444441E-3</v>
      </c>
    </row>
    <row r="4" spans="1:23" x14ac:dyDescent="0.35">
      <c r="A4" s="16">
        <v>1</v>
      </c>
      <c r="B4" s="16">
        <v>3</v>
      </c>
      <c r="C4" s="46">
        <v>6.9444444444444441E-3</v>
      </c>
      <c r="D4" s="16">
        <f t="shared" si="0"/>
        <v>10</v>
      </c>
      <c r="E4" s="16">
        <f t="shared" si="1"/>
        <v>0</v>
      </c>
      <c r="F4" s="16" t="s">
        <v>16</v>
      </c>
      <c r="G4" s="16" t="s">
        <v>15</v>
      </c>
      <c r="H4" s="16" t="str">
        <f>_xlfn.XLOOKUP(G4,'1-Players'!$A$2:$A$27,'1-Players'!$D$2:$D$27,"")</f>
        <v>James Batemon</v>
      </c>
      <c r="I4" s="16" t="s">
        <v>81</v>
      </c>
      <c r="K4" s="16" t="str" cm="1">
        <f t="array" ref="K4">IFERROR(_xlfn.IFS(I4="Free Throw",1,I4="2-Point Shot",2,I4="Dunk",2,I4="3-Point Shot",3),"")</f>
        <v/>
      </c>
      <c r="L4" s="16" t="str" cm="1">
        <f t="array" ref="L4">IFERROR(_xlfn.IFS(J4="Made",1,J4="Missed",0),"")</f>
        <v/>
      </c>
      <c r="M4" s="16" t="str">
        <f t="shared" si="2"/>
        <v/>
      </c>
      <c r="N4" s="16" t="str">
        <f t="shared" si="3"/>
        <v/>
      </c>
      <c r="O4" s="16" t="str">
        <f t="shared" si="4"/>
        <v/>
      </c>
      <c r="P4" s="16">
        <f>IF(N4="",0,SUM($N$2:N4))</f>
        <v>0</v>
      </c>
      <c r="Q4" s="16" t="str">
        <f>IF(O4="","0",SUM($O$2:O4))</f>
        <v>0</v>
      </c>
      <c r="R4" s="52" t="str">
        <f t="shared" si="5"/>
        <v/>
      </c>
      <c r="S4" s="53" t="str">
        <f t="shared" si="6"/>
        <v/>
      </c>
      <c r="T4" s="16">
        <v>2</v>
      </c>
      <c r="U4" s="16">
        <v>0</v>
      </c>
      <c r="V4" s="16" t="str">
        <v>MAN 2 - 0 LLE</v>
      </c>
      <c r="W4" s="50">
        <v>6.7129629629629631E-3</v>
      </c>
    </row>
    <row r="5" spans="1:23" x14ac:dyDescent="0.35">
      <c r="A5" s="16">
        <v>1</v>
      </c>
      <c r="B5" s="16">
        <v>4</v>
      </c>
      <c r="C5" s="46">
        <v>6.9444444444444441E-3</v>
      </c>
      <c r="D5" s="16">
        <f t="shared" si="0"/>
        <v>10</v>
      </c>
      <c r="E5" s="16">
        <f t="shared" si="1"/>
        <v>0</v>
      </c>
      <c r="F5" s="16" t="s">
        <v>16</v>
      </c>
      <c r="G5" s="16" t="s">
        <v>20</v>
      </c>
      <c r="H5" s="16" t="str">
        <f>_xlfn.XLOOKUP(G5,'1-Players'!$A$2:$A$27,'1-Players'!$D$2:$D$27,"")</f>
        <v>Caleb Agada</v>
      </c>
      <c r="I5" s="16" t="s">
        <v>81</v>
      </c>
      <c r="K5" s="16" t="str" cm="1">
        <f t="array" ref="K5">IFERROR(_xlfn.IFS(I5="Free Throw",1,I5="2-Point Shot",2,I5="Dunk",2,I5="3-Point Shot",3),"")</f>
        <v/>
      </c>
      <c r="L5" s="16" t="str" cm="1">
        <f t="array" ref="L5">IFERROR(_xlfn.IFS(J5="Made",1,J5="Missed",0),"")</f>
        <v/>
      </c>
      <c r="M5" s="16" t="str">
        <f t="shared" si="2"/>
        <v/>
      </c>
      <c r="N5" s="16" t="str">
        <f t="shared" si="3"/>
        <v/>
      </c>
      <c r="O5" s="16" t="str">
        <f t="shared" si="4"/>
        <v/>
      </c>
      <c r="P5" s="16">
        <f>IF(N5="",0,SUM($N$2:N5))</f>
        <v>0</v>
      </c>
      <c r="Q5" s="16" t="str">
        <f>IF(O5="","0",SUM($O$2:O5))</f>
        <v>0</v>
      </c>
      <c r="R5" s="52" t="str">
        <f t="shared" si="5"/>
        <v/>
      </c>
      <c r="S5" s="53" t="str">
        <f t="shared" si="6"/>
        <v/>
      </c>
      <c r="T5" s="16">
        <v>2</v>
      </c>
      <c r="U5" s="16">
        <v>2</v>
      </c>
      <c r="V5" s="16" t="str">
        <v>MAN 2 - 2 LLE</v>
      </c>
      <c r="W5" s="50">
        <v>6.4351851851851853E-3</v>
      </c>
    </row>
    <row r="6" spans="1:23" x14ac:dyDescent="0.35">
      <c r="A6" s="16">
        <v>1</v>
      </c>
      <c r="B6" s="16">
        <v>5</v>
      </c>
      <c r="C6" s="46">
        <v>6.9444444444444397E-3</v>
      </c>
      <c r="D6" s="16">
        <f t="shared" si="0"/>
        <v>10</v>
      </c>
      <c r="E6" s="16">
        <f t="shared" si="1"/>
        <v>0</v>
      </c>
      <c r="F6" s="16" t="s">
        <v>16</v>
      </c>
      <c r="G6" s="16" t="s">
        <v>74</v>
      </c>
      <c r="H6" s="16" t="str">
        <f>_xlfn.XLOOKUP(G6,'1-Players'!$A$2:$A$27,'1-Players'!$D$2:$D$27,"")</f>
        <v>Melvin Ejim</v>
      </c>
      <c r="I6" s="16" t="s">
        <v>81</v>
      </c>
      <c r="K6" s="16" t="str" cm="1">
        <f t="array" ref="K6">IFERROR(_xlfn.IFS(I6="Free Throw",1,I6="2-Point Shot",2,I6="Dunk",2,I6="3-Point Shot",3),"")</f>
        <v/>
      </c>
      <c r="L6" s="16" t="str" cm="1">
        <f t="array" ref="L6">IFERROR(_xlfn.IFS(J6="Made",1,J6="Missed",0),"")</f>
        <v/>
      </c>
      <c r="M6" s="16" t="str">
        <f t="shared" si="2"/>
        <v/>
      </c>
      <c r="N6" s="16" t="str">
        <f t="shared" si="3"/>
        <v/>
      </c>
      <c r="O6" s="16" t="str">
        <f t="shared" si="4"/>
        <v/>
      </c>
      <c r="P6" s="16">
        <f>IF(N6="",0,SUM($N$2:N6))</f>
        <v>0</v>
      </c>
      <c r="Q6" s="16" t="str">
        <f>IF(O6="","0",SUM($O$2:O6))</f>
        <v>0</v>
      </c>
      <c r="R6" s="52" t="str">
        <f t="shared" si="5"/>
        <v/>
      </c>
      <c r="S6" s="53" t="str">
        <f t="shared" si="6"/>
        <v/>
      </c>
      <c r="T6" s="16">
        <v>4</v>
      </c>
      <c r="U6" s="16">
        <v>2</v>
      </c>
      <c r="V6" s="16" t="str">
        <v>MAN 4 - 2 LLE</v>
      </c>
      <c r="W6" s="50">
        <v>6.3310185185185188E-3</v>
      </c>
    </row>
    <row r="7" spans="1:23" x14ac:dyDescent="0.35">
      <c r="A7" s="16">
        <v>1</v>
      </c>
      <c r="B7" s="16">
        <v>6</v>
      </c>
      <c r="C7" s="46">
        <v>6.9444444444444397E-3</v>
      </c>
      <c r="D7" s="16">
        <f t="shared" si="0"/>
        <v>10</v>
      </c>
      <c r="E7" s="16">
        <f t="shared" si="1"/>
        <v>0</v>
      </c>
      <c r="F7" s="16" t="s">
        <v>46</v>
      </c>
      <c r="G7" s="16" t="s">
        <v>7</v>
      </c>
      <c r="H7" s="16" t="str">
        <f>_xlfn.XLOOKUP(G7,'1-Players'!$A$2:$A$27,'1-Players'!$D$2:$D$27,"")</f>
        <v>Álex Reyes</v>
      </c>
      <c r="I7" s="16" t="s">
        <v>81</v>
      </c>
      <c r="K7" s="16" t="str" cm="1">
        <f t="array" ref="K7">IFERROR(_xlfn.IFS(I7="Free Throw",1,I7="2-Point Shot",2,I7="Dunk",2,I7="3-Point Shot",3),"")</f>
        <v/>
      </c>
      <c r="L7" s="16" t="str" cm="1">
        <f t="array" ref="L7">IFERROR(_xlfn.IFS(J7="Made",1,J7="Missed",0),"")</f>
        <v/>
      </c>
      <c r="M7" s="16" t="str">
        <f t="shared" si="2"/>
        <v/>
      </c>
      <c r="N7" s="16" t="str">
        <f t="shared" si="3"/>
        <v/>
      </c>
      <c r="O7" s="16" t="str">
        <f t="shared" si="4"/>
        <v/>
      </c>
      <c r="P7" s="16">
        <f>IF(N7="",0,SUM($N$2:N7))</f>
        <v>0</v>
      </c>
      <c r="Q7" s="16" t="str">
        <f>IF(O7="","0",SUM($O$2:O7))</f>
        <v>0</v>
      </c>
      <c r="R7" s="52" t="str">
        <f t="shared" si="5"/>
        <v/>
      </c>
      <c r="S7" s="53" t="str">
        <f t="shared" si="6"/>
        <v/>
      </c>
      <c r="T7" s="16">
        <v>4</v>
      </c>
      <c r="U7" s="16">
        <v>4</v>
      </c>
      <c r="V7" s="16" t="str">
        <v>MAN 4 - 4 LLE</v>
      </c>
      <c r="W7" s="50">
        <v>6.145833333333333E-3</v>
      </c>
    </row>
    <row r="8" spans="1:23" x14ac:dyDescent="0.35">
      <c r="A8" s="16">
        <v>1</v>
      </c>
      <c r="B8" s="16">
        <v>7</v>
      </c>
      <c r="C8" s="46">
        <v>6.9444444444444397E-3</v>
      </c>
      <c r="D8" s="16">
        <f t="shared" si="0"/>
        <v>10</v>
      </c>
      <c r="E8" s="16">
        <f t="shared" si="1"/>
        <v>0</v>
      </c>
      <c r="F8" s="16" t="s">
        <v>46</v>
      </c>
      <c r="G8" s="16" t="s">
        <v>35</v>
      </c>
      <c r="H8" s="16" t="str">
        <f>_xlfn.XLOOKUP(G8,'1-Players'!$A$2:$A$27,'1-Players'!$D$2:$D$27,"")</f>
        <v>Grant Golden</v>
      </c>
      <c r="I8" s="16" t="s">
        <v>81</v>
      </c>
      <c r="K8" s="16" t="str" cm="1">
        <f t="array" ref="K8">IFERROR(_xlfn.IFS(I8="Free Throw",1,I8="2-Point Shot",2,I8="Dunk",2,I8="3-Point Shot",3),"")</f>
        <v/>
      </c>
      <c r="L8" s="16" t="str" cm="1">
        <f t="array" ref="L8">IFERROR(_xlfn.IFS(J8="Made",1,J8="Missed",0),"")</f>
        <v/>
      </c>
      <c r="M8" s="16" t="str">
        <f t="shared" si="2"/>
        <v/>
      </c>
      <c r="N8" s="16" t="str">
        <f t="shared" si="3"/>
        <v/>
      </c>
      <c r="O8" s="16" t="str">
        <f t="shared" si="4"/>
        <v/>
      </c>
      <c r="P8" s="16">
        <f>IF(N8="",0,SUM($N$2:N8))</f>
        <v>0</v>
      </c>
      <c r="Q8" s="16" t="str">
        <f>IF(O8="","0",SUM($O$2:O8))</f>
        <v>0</v>
      </c>
      <c r="R8" s="52" t="str">
        <f t="shared" si="5"/>
        <v/>
      </c>
      <c r="S8" s="53" t="str">
        <f t="shared" si="6"/>
        <v/>
      </c>
      <c r="T8" s="16">
        <v>7</v>
      </c>
      <c r="U8" s="16">
        <v>4</v>
      </c>
      <c r="V8" s="16" t="str">
        <v>MAN 7 - 4 LLE</v>
      </c>
      <c r="W8" s="50">
        <v>6.145833333333333E-3</v>
      </c>
    </row>
    <row r="9" spans="1:23" x14ac:dyDescent="0.35">
      <c r="A9" s="16">
        <v>1</v>
      </c>
      <c r="B9" s="16">
        <v>8</v>
      </c>
      <c r="C9" s="46">
        <v>6.9444444444444397E-3</v>
      </c>
      <c r="D9" s="16">
        <f t="shared" si="0"/>
        <v>10</v>
      </c>
      <c r="E9" s="16">
        <f t="shared" si="1"/>
        <v>0</v>
      </c>
      <c r="F9" s="16" t="s">
        <v>46</v>
      </c>
      <c r="G9" s="16" t="s">
        <v>73</v>
      </c>
      <c r="H9" s="16" t="str">
        <f>_xlfn.XLOOKUP(G9,'1-Players'!$A$2:$A$27,'1-Players'!$D$2:$D$27,"")</f>
        <v>Hugo Benítez</v>
      </c>
      <c r="I9" s="16" t="s">
        <v>81</v>
      </c>
      <c r="K9" s="16" t="str" cm="1">
        <f t="array" ref="K9">IFERROR(_xlfn.IFS(I9="Free Throw",1,I9="2-Point Shot",2,I9="Dunk",2,I9="3-Point Shot",3),"")</f>
        <v/>
      </c>
      <c r="L9" s="16" t="str" cm="1">
        <f t="array" ref="L9">IFERROR(_xlfn.IFS(J9="Made",1,J9="Missed",0),"")</f>
        <v/>
      </c>
      <c r="M9" s="16" t="str">
        <f t="shared" si="2"/>
        <v/>
      </c>
      <c r="N9" s="16" t="str">
        <f t="shared" si="3"/>
        <v/>
      </c>
      <c r="O9" s="16" t="str">
        <f t="shared" si="4"/>
        <v/>
      </c>
      <c r="P9" s="16">
        <f>IF(N9="",0,SUM($N$2:N9))</f>
        <v>0</v>
      </c>
      <c r="Q9" s="16" t="str">
        <f>IF(O9="","0",SUM($O$2:O9))</f>
        <v>0</v>
      </c>
      <c r="R9" s="52" t="str">
        <f t="shared" si="5"/>
        <v/>
      </c>
      <c r="S9" s="53" t="str">
        <f t="shared" si="6"/>
        <v/>
      </c>
      <c r="T9" s="16">
        <v>10</v>
      </c>
      <c r="U9" s="16">
        <v>4</v>
      </c>
      <c r="V9" s="16" t="str">
        <v>MAN 10 - 4 LLE</v>
      </c>
      <c r="W9" s="50">
        <v>5.5208333333333333E-3</v>
      </c>
    </row>
    <row r="10" spans="1:23" x14ac:dyDescent="0.35">
      <c r="A10" s="16">
        <v>1</v>
      </c>
      <c r="B10" s="16">
        <v>9</v>
      </c>
      <c r="C10" s="46">
        <v>6.9444444444444397E-3</v>
      </c>
      <c r="D10" s="16">
        <f t="shared" si="0"/>
        <v>10</v>
      </c>
      <c r="E10" s="16">
        <f t="shared" si="1"/>
        <v>0</v>
      </c>
      <c r="F10" s="16" t="s">
        <v>46</v>
      </c>
      <c r="G10" s="16" t="s">
        <v>13</v>
      </c>
      <c r="H10" s="16" t="str">
        <f>_xlfn.XLOOKUP(G10,'1-Players'!$A$2:$A$27,'1-Players'!$D$2:$D$27,"")</f>
        <v>Retin Obasohan</v>
      </c>
      <c r="I10" s="16" t="s">
        <v>81</v>
      </c>
      <c r="K10" s="16" t="str" cm="1">
        <f t="array" ref="K10">IFERROR(_xlfn.IFS(I10="Free Throw",1,I10="2-Point Shot",2,I10="Dunk",2,I10="3-Point Shot",3),"")</f>
        <v/>
      </c>
      <c r="L10" s="16" t="str" cm="1">
        <f t="array" ref="L10">IFERROR(_xlfn.IFS(J10="Made",1,J10="Missed",0),"")</f>
        <v/>
      </c>
      <c r="M10" s="16" t="str">
        <f t="shared" si="2"/>
        <v/>
      </c>
      <c r="N10" s="16" t="str">
        <f t="shared" si="3"/>
        <v/>
      </c>
      <c r="O10" s="16" t="str">
        <f t="shared" si="4"/>
        <v/>
      </c>
      <c r="P10" s="16">
        <f>IF(N10="",0,SUM($N$2:N10))</f>
        <v>0</v>
      </c>
      <c r="Q10" s="16" t="str">
        <f>IF(O10="","0",SUM($O$2:O10))</f>
        <v>0</v>
      </c>
      <c r="R10" s="52" t="str">
        <f t="shared" si="5"/>
        <v/>
      </c>
      <c r="S10" s="53" t="str">
        <f t="shared" si="6"/>
        <v/>
      </c>
      <c r="T10" s="16">
        <v>10</v>
      </c>
      <c r="U10" s="16">
        <v>5</v>
      </c>
      <c r="V10" s="16" t="str">
        <v>MAN 10 - 5 LLE</v>
      </c>
      <c r="W10" s="50">
        <v>5.2662037037037035E-3</v>
      </c>
    </row>
    <row r="11" spans="1:23" x14ac:dyDescent="0.35">
      <c r="A11" s="16">
        <v>1</v>
      </c>
      <c r="B11" s="16">
        <v>10</v>
      </c>
      <c r="C11" s="46">
        <v>6.9444444444444397E-3</v>
      </c>
      <c r="D11" s="16">
        <f t="shared" si="0"/>
        <v>10</v>
      </c>
      <c r="E11" s="16">
        <f t="shared" si="1"/>
        <v>0</v>
      </c>
      <c r="F11" s="16" t="s">
        <v>46</v>
      </c>
      <c r="G11" s="16" t="s">
        <v>11</v>
      </c>
      <c r="H11" s="16" t="str">
        <f>_xlfn.XLOOKUP(G11,'1-Players'!$A$2:$A$27,'1-Players'!$D$2:$D$27,"")</f>
        <v>Marcis Steinbergs</v>
      </c>
      <c r="I11" s="16" t="s">
        <v>81</v>
      </c>
      <c r="K11" s="16" t="str" cm="1">
        <f t="array" ref="K11">IFERROR(_xlfn.IFS(I11="Free Throw",1,I11="2-Point Shot",2,I11="Dunk",2,I11="3-Point Shot",3),"")</f>
        <v/>
      </c>
      <c r="L11" s="16" t="str" cm="1">
        <f t="array" ref="L11">IFERROR(_xlfn.IFS(J11="Made",1,J11="Missed",0),"")</f>
        <v/>
      </c>
      <c r="M11" s="16" t="str">
        <f t="shared" si="2"/>
        <v/>
      </c>
      <c r="N11" s="16" t="str">
        <f t="shared" si="3"/>
        <v/>
      </c>
      <c r="O11" s="16" t="str">
        <f t="shared" si="4"/>
        <v/>
      </c>
      <c r="P11" s="16">
        <f>IF(N11="",0,SUM($N$2:N11))</f>
        <v>0</v>
      </c>
      <c r="Q11" s="16" t="str">
        <f>IF(O11="","0",SUM($O$2:O11))</f>
        <v>0</v>
      </c>
      <c r="R11" s="52" t="str">
        <f t="shared" si="5"/>
        <v/>
      </c>
      <c r="S11" s="53" t="str">
        <f t="shared" si="6"/>
        <v/>
      </c>
      <c r="T11" s="16">
        <v>10</v>
      </c>
      <c r="U11" s="16">
        <v>6</v>
      </c>
      <c r="V11" s="16" t="str">
        <v>MAN 10 - 6 LLE</v>
      </c>
      <c r="W11" s="50">
        <v>5.2662037037037035E-3</v>
      </c>
    </row>
    <row r="12" spans="1:23" x14ac:dyDescent="0.35">
      <c r="A12" s="16">
        <v>1</v>
      </c>
      <c r="B12" s="16">
        <v>11</v>
      </c>
      <c r="C12" s="46">
        <v>6.9444444444444397E-3</v>
      </c>
      <c r="D12" s="16">
        <f t="shared" si="0"/>
        <v>10</v>
      </c>
      <c r="E12" s="16">
        <f t="shared" si="1"/>
        <v>0</v>
      </c>
      <c r="F12" s="16" t="s">
        <v>46</v>
      </c>
      <c r="G12" s="16" t="s">
        <v>35</v>
      </c>
      <c r="H12" s="16" t="str">
        <f>_xlfn.XLOOKUP(G12,'1-Players'!$A$2:$A$27,'1-Players'!$D$2:$D$27,"")</f>
        <v>Grant Golden</v>
      </c>
      <c r="I12" s="16" t="s">
        <v>103</v>
      </c>
      <c r="K12" s="16" t="str" cm="1">
        <f t="array" ref="K12">IFERROR(_xlfn.IFS(I12="Free Throw",1,I12="2-Point Shot",2,I12="Dunk",2,I12="3-Point Shot",3),"")</f>
        <v/>
      </c>
      <c r="L12" s="16" t="str" cm="1">
        <f t="array" ref="L12">IFERROR(_xlfn.IFS(J12="Made",1,J12="Missed",0),"")</f>
        <v/>
      </c>
      <c r="M12" s="16" t="str">
        <f t="shared" si="2"/>
        <v/>
      </c>
      <c r="N12" s="16" t="str">
        <f t="shared" si="3"/>
        <v/>
      </c>
      <c r="O12" s="16" t="str">
        <f t="shared" si="4"/>
        <v/>
      </c>
      <c r="P12" s="16">
        <f>IF(N12="",0,SUM($N$2:N12))</f>
        <v>0</v>
      </c>
      <c r="Q12" s="16" t="str">
        <f>IF(O12="","0",SUM($O$2:O12))</f>
        <v>0</v>
      </c>
      <c r="R12" s="52" t="str">
        <f t="shared" si="5"/>
        <v/>
      </c>
      <c r="S12" s="53" t="str">
        <f t="shared" si="6"/>
        <v/>
      </c>
      <c r="T12" s="16">
        <v>12</v>
      </c>
      <c r="U12" s="16">
        <v>6</v>
      </c>
      <c r="V12" s="16" t="str">
        <v>MAN 12 - 6 LLE</v>
      </c>
      <c r="W12" s="50">
        <v>5.115740740740741E-3</v>
      </c>
    </row>
    <row r="13" spans="1:23" x14ac:dyDescent="0.35">
      <c r="A13" s="16">
        <v>1</v>
      </c>
      <c r="B13" s="16">
        <v>12</v>
      </c>
      <c r="C13" s="46">
        <v>6.9444444444444397E-3</v>
      </c>
      <c r="D13" s="16">
        <f t="shared" si="0"/>
        <v>10</v>
      </c>
      <c r="E13" s="16">
        <f t="shared" si="1"/>
        <v>0</v>
      </c>
      <c r="F13" s="16" t="s">
        <v>16</v>
      </c>
      <c r="G13" s="16" t="s">
        <v>25</v>
      </c>
      <c r="H13" s="16" t="str">
        <f>_xlfn.XLOOKUP(G13,'1-Players'!$A$2:$A$27,'1-Players'!$D$2:$D$27,"")</f>
        <v>Atoumane Diagne</v>
      </c>
      <c r="I13" s="16" t="s">
        <v>104</v>
      </c>
      <c r="K13" s="16" t="str" cm="1">
        <f t="array" ref="K13">IFERROR(_xlfn.IFS(I13="Free Throw",1,I13="2-Point Shot",2,I13="Dunk",2,I13="3-Point Shot",3),"")</f>
        <v/>
      </c>
      <c r="L13" s="16" t="str" cm="1">
        <f t="array" ref="L13">IFERROR(_xlfn.IFS(J13="Made",1,J13="Missed",0),"")</f>
        <v/>
      </c>
      <c r="M13" s="16" t="str">
        <f t="shared" si="2"/>
        <v/>
      </c>
      <c r="N13" s="16" t="str">
        <f t="shared" si="3"/>
        <v/>
      </c>
      <c r="O13" s="16" t="str">
        <f t="shared" si="4"/>
        <v/>
      </c>
      <c r="P13" s="16">
        <f>IF(N13="",0,SUM($N$2:N13))</f>
        <v>0</v>
      </c>
      <c r="Q13" s="16" t="str">
        <f>IF(O13="","0",SUM($O$2:O13))</f>
        <v>0</v>
      </c>
      <c r="R13" s="52" t="str">
        <f t="shared" si="5"/>
        <v/>
      </c>
      <c r="S13" s="53" t="str">
        <f t="shared" si="6"/>
        <v/>
      </c>
      <c r="T13" s="16">
        <v>12</v>
      </c>
      <c r="U13" s="16">
        <v>7</v>
      </c>
      <c r="V13" s="16" t="str">
        <v>MAN 12 - 7 LLE</v>
      </c>
      <c r="W13" s="50">
        <v>4.8842592592592592E-3</v>
      </c>
    </row>
    <row r="14" spans="1:23" x14ac:dyDescent="0.35">
      <c r="A14" s="16">
        <v>1</v>
      </c>
      <c r="B14" s="16">
        <v>13</v>
      </c>
      <c r="C14" s="46">
        <v>6.7129629629629631E-3</v>
      </c>
      <c r="D14" s="16">
        <f t="shared" si="0"/>
        <v>9</v>
      </c>
      <c r="E14" s="16">
        <f t="shared" si="1"/>
        <v>40</v>
      </c>
      <c r="F14" s="16" t="s">
        <v>46</v>
      </c>
      <c r="G14" s="16" t="s">
        <v>13</v>
      </c>
      <c r="H14" s="16" t="str">
        <f>_xlfn.XLOOKUP(G14,'1-Players'!$A$2:$A$27,'1-Players'!$D$2:$D$27,"")</f>
        <v>Retin Obasohan</v>
      </c>
      <c r="I14" s="16" t="s">
        <v>82</v>
      </c>
      <c r="J14" s="16" t="s">
        <v>60</v>
      </c>
      <c r="K14" s="16" cm="1">
        <f t="array" ref="K14">IFERROR(_xlfn.IFS(I14="Free Throw",1,I14="2-Point Shot",2,I14="Dunk",2,I14="3-Point Shot",3),"")</f>
        <v>2</v>
      </c>
      <c r="L14" s="16" cm="1">
        <f t="array" ref="L14">IFERROR(_xlfn.IFS(J14="Made",1,J14="Missed",0),"")</f>
        <v>1</v>
      </c>
      <c r="M14" s="16">
        <f t="shared" si="2"/>
        <v>2</v>
      </c>
      <c r="N14" s="16">
        <f t="shared" si="3"/>
        <v>2</v>
      </c>
      <c r="O14" s="16" t="str">
        <f t="shared" si="4"/>
        <v/>
      </c>
      <c r="P14" s="16">
        <f>SUM($N$2:N14)</f>
        <v>2</v>
      </c>
      <c r="Q14" s="16">
        <f>SUM($O$2:O14)</f>
        <v>0</v>
      </c>
      <c r="R14" s="52" t="str">
        <f t="shared" si="5"/>
        <v>MAN 2 - 0 LLE</v>
      </c>
      <c r="S14" s="53">
        <f t="shared" si="6"/>
        <v>6.7129629629629631E-3</v>
      </c>
      <c r="T14" s="16">
        <v>13</v>
      </c>
      <c r="U14" s="16">
        <v>7</v>
      </c>
      <c r="V14" s="16" t="str">
        <v>MAN 13 - 7 LLE</v>
      </c>
      <c r="W14" s="50">
        <v>4.6990740740740743E-3</v>
      </c>
    </row>
    <row r="15" spans="1:23" x14ac:dyDescent="0.35">
      <c r="A15" s="16">
        <v>1</v>
      </c>
      <c r="B15" s="16">
        <v>14</v>
      </c>
      <c r="C15" s="46">
        <v>6.4351851851851853E-3</v>
      </c>
      <c r="D15" s="16">
        <f t="shared" si="0"/>
        <v>9</v>
      </c>
      <c r="E15" s="16">
        <f t="shared" si="1"/>
        <v>16</v>
      </c>
      <c r="F15" s="16" t="s">
        <v>16</v>
      </c>
      <c r="G15" s="16" t="s">
        <v>25</v>
      </c>
      <c r="H15" s="16" t="str">
        <f>_xlfn.XLOOKUP(G15,'1-Players'!$A$2:$A$27,'1-Players'!$D$2:$D$27,"")</f>
        <v>Atoumane Diagne</v>
      </c>
      <c r="I15" s="16" t="s">
        <v>82</v>
      </c>
      <c r="J15" s="16" t="s">
        <v>60</v>
      </c>
      <c r="K15" s="16" cm="1">
        <f t="array" ref="K15">IFERROR(_xlfn.IFS(I15="Free Throw",1,I15="2-Point Shot",2,I15="Dunk",2,I15="3-Point Shot",3),"")</f>
        <v>2</v>
      </c>
      <c r="L15" s="16" cm="1">
        <f t="array" ref="L15">IFERROR(_xlfn.IFS(J15="Made",1,J15="Missed",0),"")</f>
        <v>1</v>
      </c>
      <c r="M15" s="16">
        <f t="shared" si="2"/>
        <v>2</v>
      </c>
      <c r="N15" s="16" t="str">
        <f t="shared" si="3"/>
        <v/>
      </c>
      <c r="O15" s="16">
        <f t="shared" si="4"/>
        <v>2</v>
      </c>
      <c r="P15" s="16">
        <f>SUM($N$2:N15)</f>
        <v>2</v>
      </c>
      <c r="Q15" s="16">
        <f>SUM($O$2:O15)</f>
        <v>2</v>
      </c>
      <c r="R15" s="52" t="str">
        <f t="shared" si="5"/>
        <v>MAN 2 - 2 LLE</v>
      </c>
      <c r="S15" s="53">
        <f t="shared" si="6"/>
        <v>6.4351851851851853E-3</v>
      </c>
      <c r="T15" s="16">
        <v>14</v>
      </c>
      <c r="U15" s="16">
        <v>7</v>
      </c>
      <c r="V15" s="16" t="str">
        <v>MAN 14 - 7 LLE</v>
      </c>
      <c r="W15" s="50">
        <v>4.6990740740740743E-3</v>
      </c>
    </row>
    <row r="16" spans="1:23" x14ac:dyDescent="0.35">
      <c r="A16" s="16">
        <v>1</v>
      </c>
      <c r="B16" s="16">
        <v>15</v>
      </c>
      <c r="C16" s="46">
        <v>6.4351851851851853E-3</v>
      </c>
      <c r="D16" s="16">
        <f t="shared" si="0"/>
        <v>9</v>
      </c>
      <c r="E16" s="16">
        <f t="shared" si="1"/>
        <v>16</v>
      </c>
      <c r="F16" s="16" t="s">
        <v>16</v>
      </c>
      <c r="G16" s="16" t="s">
        <v>15</v>
      </c>
      <c r="H16" s="16" t="str">
        <f>_xlfn.XLOOKUP(G16,'1-Players'!$A$2:$A$27,'1-Players'!$D$2:$D$27,"")</f>
        <v>James Batemon</v>
      </c>
      <c r="I16" s="16" t="s">
        <v>61</v>
      </c>
      <c r="K16" s="16" t="str" cm="1">
        <f t="array" ref="K16">IFERROR(_xlfn.IFS(I16="Free Throw",1,I16="2-Point Shot",2,I16="Dunk",2,I16="3-Point Shot",3),"")</f>
        <v/>
      </c>
      <c r="L16" s="16" t="str" cm="1">
        <f t="array" ref="L16">IFERROR(_xlfn.IFS(J16="Made",1,J16="Missed",0),"")</f>
        <v/>
      </c>
      <c r="M16" s="16" t="str">
        <f t="shared" si="2"/>
        <v/>
      </c>
      <c r="N16" s="16" t="str">
        <f t="shared" si="3"/>
        <v/>
      </c>
      <c r="O16" s="16" t="str">
        <f t="shared" si="4"/>
        <v/>
      </c>
      <c r="P16" s="16">
        <f>SUM($N$2:N16)</f>
        <v>2</v>
      </c>
      <c r="Q16" s="16">
        <f>SUM($O$2:O16)</f>
        <v>2</v>
      </c>
      <c r="R16" s="52" t="str">
        <f t="shared" si="5"/>
        <v/>
      </c>
      <c r="S16" s="53" t="str">
        <f t="shared" si="6"/>
        <v/>
      </c>
      <c r="T16" s="16">
        <v>14</v>
      </c>
      <c r="U16" s="16">
        <v>9</v>
      </c>
      <c r="V16" s="16" t="str">
        <v>MAN 14 - 9 LLE</v>
      </c>
      <c r="W16" s="50">
        <v>4.5601851851851853E-3</v>
      </c>
    </row>
    <row r="17" spans="1:23" x14ac:dyDescent="0.35">
      <c r="A17" s="19">
        <v>1</v>
      </c>
      <c r="B17" s="19">
        <v>16</v>
      </c>
      <c r="C17" s="47">
        <v>6.3310185185185188E-3</v>
      </c>
      <c r="D17" s="16">
        <f t="shared" si="0"/>
        <v>9</v>
      </c>
      <c r="E17" s="16">
        <f t="shared" si="1"/>
        <v>7</v>
      </c>
      <c r="F17" s="19" t="s">
        <v>46</v>
      </c>
      <c r="G17" s="19" t="s">
        <v>35</v>
      </c>
      <c r="H17" s="16" t="str">
        <f>_xlfn.XLOOKUP(G17,'1-Players'!$A$2:$A$27,'1-Players'!$D$2:$D$27,"")</f>
        <v>Grant Golden</v>
      </c>
      <c r="I17" s="19" t="s">
        <v>82</v>
      </c>
      <c r="J17" s="19" t="s">
        <v>60</v>
      </c>
      <c r="K17" s="16" cm="1">
        <f t="array" ref="K17">IFERROR(_xlfn.IFS(I17="Free Throw",1,I17="2-Point Shot",2,I17="Dunk",2,I17="3-Point Shot",3),"")</f>
        <v>2</v>
      </c>
      <c r="L17" s="16" cm="1">
        <f t="array" ref="L17">IFERROR(_xlfn.IFS(J17="Made",1,J17="Missed",0),"")</f>
        <v>1</v>
      </c>
      <c r="M17" s="16">
        <f t="shared" si="2"/>
        <v>2</v>
      </c>
      <c r="N17" s="16">
        <f t="shared" si="3"/>
        <v>2</v>
      </c>
      <c r="O17" s="16" t="str">
        <f t="shared" si="4"/>
        <v/>
      </c>
      <c r="P17" s="16">
        <f>SUM($N$2:N17)</f>
        <v>4</v>
      </c>
      <c r="Q17" s="16">
        <f>SUM($O$2:O17)</f>
        <v>2</v>
      </c>
      <c r="R17" s="52" t="str">
        <f t="shared" si="5"/>
        <v>MAN 4 - 2 LLE</v>
      </c>
      <c r="S17" s="53">
        <f t="shared" si="6"/>
        <v>6.3310185185185188E-3</v>
      </c>
      <c r="T17" s="16">
        <v>16</v>
      </c>
      <c r="U17" s="16">
        <v>9</v>
      </c>
      <c r="V17" s="16" t="str">
        <v>MAN 16 - 9 LLE</v>
      </c>
      <c r="W17" s="50">
        <v>3.7962962962962963E-3</v>
      </c>
    </row>
    <row r="18" spans="1:23" x14ac:dyDescent="0.35">
      <c r="A18" s="19">
        <v>1</v>
      </c>
      <c r="B18" s="19">
        <v>17</v>
      </c>
      <c r="C18" s="47">
        <v>6.3310185185185188E-3</v>
      </c>
      <c r="D18" s="16">
        <f t="shared" si="0"/>
        <v>9</v>
      </c>
      <c r="E18" s="16">
        <f t="shared" si="1"/>
        <v>7</v>
      </c>
      <c r="F18" s="19" t="s">
        <v>46</v>
      </c>
      <c r="G18" s="19" t="s">
        <v>73</v>
      </c>
      <c r="H18" s="16" t="str">
        <f>_xlfn.XLOOKUP(G18,'1-Players'!$A$2:$A$27,'1-Players'!$D$2:$D$27,"")</f>
        <v>Hugo Benítez</v>
      </c>
      <c r="I18" s="19" t="s">
        <v>61</v>
      </c>
      <c r="J18" s="19"/>
      <c r="K18" s="16" t="str" cm="1">
        <f t="array" ref="K18">IFERROR(_xlfn.IFS(I18="Free Throw",1,I18="2-Point Shot",2,I18="Dunk",2,I18="3-Point Shot",3),"")</f>
        <v/>
      </c>
      <c r="L18" s="16" t="str" cm="1">
        <f t="array" ref="L18">IFERROR(_xlfn.IFS(J18="Made",1,J18="Missed",0),"")</f>
        <v/>
      </c>
      <c r="M18" s="16" t="str">
        <f t="shared" si="2"/>
        <v/>
      </c>
      <c r="N18" s="16" t="str">
        <f t="shared" si="3"/>
        <v/>
      </c>
      <c r="O18" s="16" t="str">
        <f t="shared" si="4"/>
        <v/>
      </c>
      <c r="P18" s="16">
        <f>SUM($N$2:N18)</f>
        <v>4</v>
      </c>
      <c r="Q18" s="16">
        <f>SUM($O$2:O18)</f>
        <v>2</v>
      </c>
      <c r="R18" s="52" t="str">
        <f t="shared" si="5"/>
        <v/>
      </c>
      <c r="S18" s="53" t="str">
        <f t="shared" si="6"/>
        <v/>
      </c>
      <c r="T18" s="16">
        <v>16</v>
      </c>
      <c r="U18" s="16">
        <v>10</v>
      </c>
      <c r="V18" s="16" t="str">
        <v>MAN 16 - 10 LLE</v>
      </c>
      <c r="W18" s="50">
        <v>3.1828703703703702E-3</v>
      </c>
    </row>
    <row r="19" spans="1:23" x14ac:dyDescent="0.35">
      <c r="A19" s="19">
        <v>1</v>
      </c>
      <c r="B19" s="19">
        <v>18</v>
      </c>
      <c r="C19" s="47">
        <v>6.145833333333333E-3</v>
      </c>
      <c r="D19" s="16">
        <f t="shared" si="0"/>
        <v>8</v>
      </c>
      <c r="E19" s="16">
        <f t="shared" si="1"/>
        <v>51</v>
      </c>
      <c r="F19" s="19" t="s">
        <v>16</v>
      </c>
      <c r="G19" s="19" t="s">
        <v>25</v>
      </c>
      <c r="H19" s="16" t="str">
        <f>_xlfn.XLOOKUP(G19,'1-Players'!$A$2:$A$27,'1-Players'!$D$2:$D$27,"")</f>
        <v>Atoumane Diagne</v>
      </c>
      <c r="I19" s="19" t="s">
        <v>62</v>
      </c>
      <c r="J19" s="19" t="s">
        <v>60</v>
      </c>
      <c r="K19" s="16" cm="1">
        <f t="array" ref="K19">IFERROR(_xlfn.IFS(I19="Free Throw",1,I19="2-Point Shot",2,I19="Dunk",2,I19="3-Point Shot",3),"")</f>
        <v>2</v>
      </c>
      <c r="L19" s="16" cm="1">
        <f t="array" ref="L19">IFERROR(_xlfn.IFS(J19="Made",1,J19="Missed",0),"")</f>
        <v>1</v>
      </c>
      <c r="M19" s="16">
        <f t="shared" si="2"/>
        <v>2</v>
      </c>
      <c r="N19" s="16" t="str">
        <f t="shared" si="3"/>
        <v/>
      </c>
      <c r="O19" s="16">
        <f t="shared" si="4"/>
        <v>2</v>
      </c>
      <c r="P19" s="16">
        <f>SUM($N$2:N19)</f>
        <v>4</v>
      </c>
      <c r="Q19" s="16">
        <f>SUM($O$2:O19)</f>
        <v>4</v>
      </c>
      <c r="R19" s="52" t="str">
        <f t="shared" si="5"/>
        <v>MAN 4 - 4 LLE</v>
      </c>
      <c r="S19" s="53">
        <f t="shared" si="6"/>
        <v>6.145833333333333E-3</v>
      </c>
      <c r="T19" s="16">
        <v>16</v>
      </c>
      <c r="U19" s="16">
        <v>11</v>
      </c>
      <c r="V19" s="16" t="str">
        <v>MAN 16 - 11 LLE</v>
      </c>
      <c r="W19" s="50">
        <v>3.1828703703703702E-3</v>
      </c>
    </row>
    <row r="20" spans="1:23" x14ac:dyDescent="0.35">
      <c r="A20" s="19">
        <v>1</v>
      </c>
      <c r="B20" s="19">
        <v>19</v>
      </c>
      <c r="C20" s="47">
        <v>6.145833333333333E-3</v>
      </c>
      <c r="D20" s="16">
        <f t="shared" si="0"/>
        <v>8</v>
      </c>
      <c r="E20" s="16">
        <f t="shared" si="1"/>
        <v>51</v>
      </c>
      <c r="F20" s="19" t="s">
        <v>16</v>
      </c>
      <c r="G20" s="19" t="s">
        <v>20</v>
      </c>
      <c r="H20" s="16" t="str">
        <f>_xlfn.XLOOKUP(G20,'1-Players'!$A$2:$A$27,'1-Players'!$D$2:$D$27,"")</f>
        <v>Caleb Agada</v>
      </c>
      <c r="I20" s="19" t="s">
        <v>61</v>
      </c>
      <c r="J20" s="19"/>
      <c r="K20" s="16" t="str" cm="1">
        <f t="array" ref="K20">IFERROR(_xlfn.IFS(I20="Free Throw",1,I20="2-Point Shot",2,I20="Dunk",2,I20="3-Point Shot",3),"")</f>
        <v/>
      </c>
      <c r="L20" s="16" t="str" cm="1">
        <f t="array" ref="L20">IFERROR(_xlfn.IFS(J20="Made",1,J20="Missed",0),"")</f>
        <v/>
      </c>
      <c r="M20" s="16" t="str">
        <f t="shared" si="2"/>
        <v/>
      </c>
      <c r="N20" s="16" t="str">
        <f t="shared" si="3"/>
        <v/>
      </c>
      <c r="O20" s="16" t="str">
        <f t="shared" si="4"/>
        <v/>
      </c>
      <c r="P20" s="16">
        <f>SUM($N$2:N20)</f>
        <v>4</v>
      </c>
      <c r="Q20" s="16">
        <f>SUM($O$2:O20)</f>
        <v>4</v>
      </c>
      <c r="R20" s="52" t="str">
        <f t="shared" si="5"/>
        <v/>
      </c>
      <c r="S20" s="53" t="str">
        <f t="shared" si="6"/>
        <v/>
      </c>
      <c r="T20" s="16">
        <v>16</v>
      </c>
      <c r="U20" s="16">
        <v>13</v>
      </c>
      <c r="V20" s="16" t="str">
        <v>MAN 16 - 13 LLE</v>
      </c>
      <c r="W20" s="50">
        <v>2.8009259259259259E-3</v>
      </c>
    </row>
    <row r="21" spans="1:23" x14ac:dyDescent="0.35">
      <c r="A21" s="19">
        <v>1</v>
      </c>
      <c r="B21" s="19">
        <v>20</v>
      </c>
      <c r="C21" s="47">
        <v>6.145833333333333E-3</v>
      </c>
      <c r="D21" s="16">
        <f t="shared" si="0"/>
        <v>8</v>
      </c>
      <c r="E21" s="16">
        <f t="shared" si="1"/>
        <v>51</v>
      </c>
      <c r="F21" s="19" t="s">
        <v>46</v>
      </c>
      <c r="G21" s="19" t="s">
        <v>73</v>
      </c>
      <c r="H21" s="16" t="str">
        <f>_xlfn.XLOOKUP(G21,'1-Players'!$A$2:$A$27,'1-Players'!$D$2:$D$27,"")</f>
        <v>Hugo Benítez</v>
      </c>
      <c r="I21" s="19" t="s">
        <v>83</v>
      </c>
      <c r="J21" s="19" t="s">
        <v>60</v>
      </c>
      <c r="K21" s="16" cm="1">
        <f t="array" ref="K21">IFERROR(_xlfn.IFS(I21="Free Throw",1,I21="2-Point Shot",2,I21="Dunk",2,I21="3-Point Shot",3),"")</f>
        <v>3</v>
      </c>
      <c r="L21" s="16" cm="1">
        <f t="array" ref="L21">IFERROR(_xlfn.IFS(J21="Made",1,J21="Missed",0),"")</f>
        <v>1</v>
      </c>
      <c r="M21" s="16">
        <f t="shared" si="2"/>
        <v>3</v>
      </c>
      <c r="N21" s="16">
        <f t="shared" si="3"/>
        <v>3</v>
      </c>
      <c r="O21" s="16" t="str">
        <f t="shared" si="4"/>
        <v/>
      </c>
      <c r="P21" s="16">
        <f>SUM($N$2:N21)</f>
        <v>7</v>
      </c>
      <c r="Q21" s="16">
        <f>SUM($O$2:O21)</f>
        <v>4</v>
      </c>
      <c r="R21" s="52" t="str">
        <f t="shared" si="5"/>
        <v>MAN 7 - 4 LLE</v>
      </c>
      <c r="S21" s="53">
        <f t="shared" si="6"/>
        <v>6.145833333333333E-3</v>
      </c>
      <c r="T21" s="16">
        <v>16</v>
      </c>
      <c r="U21" s="16">
        <v>14</v>
      </c>
      <c r="V21" s="16" t="str">
        <v>MAN 16 - 14 LLE</v>
      </c>
      <c r="W21" s="50">
        <v>2.8009259259259259E-3</v>
      </c>
    </row>
    <row r="22" spans="1:23" x14ac:dyDescent="0.35">
      <c r="A22" s="19">
        <v>1</v>
      </c>
      <c r="B22" s="19">
        <v>21</v>
      </c>
      <c r="C22" s="47">
        <v>6.145833333333333E-3</v>
      </c>
      <c r="D22" s="16">
        <f t="shared" si="0"/>
        <v>8</v>
      </c>
      <c r="E22" s="16">
        <f t="shared" si="1"/>
        <v>51</v>
      </c>
      <c r="F22" s="19" t="s">
        <v>46</v>
      </c>
      <c r="G22" s="19" t="s">
        <v>13</v>
      </c>
      <c r="H22" s="16" t="str">
        <f>_xlfn.XLOOKUP(G22,'1-Players'!$A$2:$A$27,'1-Players'!$D$2:$D$27,"")</f>
        <v>Retin Obasohan</v>
      </c>
      <c r="I22" s="19" t="s">
        <v>61</v>
      </c>
      <c r="J22" s="19"/>
      <c r="K22" s="16" t="str" cm="1">
        <f t="array" ref="K22">IFERROR(_xlfn.IFS(I22="Free Throw",1,I22="2-Point Shot",2,I22="Dunk",2,I22="3-Point Shot",3),"")</f>
        <v/>
      </c>
      <c r="L22" s="16" t="str" cm="1">
        <f t="array" ref="L22">IFERROR(_xlfn.IFS(J22="Made",1,J22="Missed",0),"")</f>
        <v/>
      </c>
      <c r="M22" s="16" t="str">
        <f t="shared" si="2"/>
        <v/>
      </c>
      <c r="N22" s="16" t="str">
        <f t="shared" si="3"/>
        <v/>
      </c>
      <c r="O22" s="16" t="str">
        <f t="shared" si="4"/>
        <v/>
      </c>
      <c r="P22" s="16">
        <f>SUM($N$2:N22)</f>
        <v>7</v>
      </c>
      <c r="Q22" s="16">
        <f>SUM($O$2:O22)</f>
        <v>4</v>
      </c>
      <c r="R22" s="52" t="str">
        <f t="shared" si="5"/>
        <v/>
      </c>
      <c r="S22" s="53" t="str">
        <f t="shared" si="6"/>
        <v/>
      </c>
      <c r="T22" s="16">
        <v>16</v>
      </c>
      <c r="U22" s="16">
        <v>16</v>
      </c>
      <c r="V22" s="16" t="str">
        <v>MAN 16 - 16 LLE</v>
      </c>
      <c r="W22" s="50">
        <v>2.5925925925925925E-3</v>
      </c>
    </row>
    <row r="23" spans="1:23" x14ac:dyDescent="0.35">
      <c r="A23" s="19">
        <v>1</v>
      </c>
      <c r="B23" s="19">
        <v>22</v>
      </c>
      <c r="C23" s="47">
        <v>5.6249999999999998E-3</v>
      </c>
      <c r="D23" s="16">
        <f t="shared" si="0"/>
        <v>8</v>
      </c>
      <c r="E23" s="16">
        <f t="shared" si="1"/>
        <v>6</v>
      </c>
      <c r="F23" s="19" t="s">
        <v>16</v>
      </c>
      <c r="G23" s="19" t="s">
        <v>15</v>
      </c>
      <c r="H23" s="16" t="str">
        <f>_xlfn.XLOOKUP(G23,'1-Players'!$A$2:$A$27,'1-Players'!$D$2:$D$27,"")</f>
        <v>James Batemon</v>
      </c>
      <c r="I23" s="19" t="s">
        <v>82</v>
      </c>
      <c r="J23" s="19" t="s">
        <v>63</v>
      </c>
      <c r="K23" s="16" cm="1">
        <f t="array" ref="K23">IFERROR(_xlfn.IFS(I23="Free Throw",1,I23="2-Point Shot",2,I23="Dunk",2,I23="3-Point Shot",3),"")</f>
        <v>2</v>
      </c>
      <c r="L23" s="16" cm="1">
        <f t="array" ref="L23">IFERROR(_xlfn.IFS(J23="Made",1,J23="Missed",0),"")</f>
        <v>0</v>
      </c>
      <c r="M23" s="16">
        <f t="shared" si="2"/>
        <v>0</v>
      </c>
      <c r="N23" s="16" t="str">
        <f t="shared" si="3"/>
        <v/>
      </c>
      <c r="O23" s="16" t="str">
        <f t="shared" si="4"/>
        <v/>
      </c>
      <c r="P23" s="16">
        <f>SUM($N$2:N23)</f>
        <v>7</v>
      </c>
      <c r="Q23" s="16">
        <f>SUM($O$2:O23)</f>
        <v>4</v>
      </c>
      <c r="R23" s="52" t="str">
        <f t="shared" si="5"/>
        <v/>
      </c>
      <c r="S23" s="53" t="str">
        <f t="shared" si="6"/>
        <v/>
      </c>
      <c r="T23" s="16">
        <v>16</v>
      </c>
      <c r="U23" s="16">
        <v>17</v>
      </c>
      <c r="V23" s="16" t="str">
        <v>MAN 16 - 17 LLE</v>
      </c>
      <c r="W23" s="50">
        <v>2.5925925925925925E-3</v>
      </c>
    </row>
    <row r="24" spans="1:23" x14ac:dyDescent="0.35">
      <c r="A24" s="19">
        <v>1</v>
      </c>
      <c r="B24" s="19">
        <v>23</v>
      </c>
      <c r="C24" s="47">
        <v>5.6249999999999998E-3</v>
      </c>
      <c r="D24" s="16">
        <f t="shared" si="0"/>
        <v>8</v>
      </c>
      <c r="E24" s="16">
        <f t="shared" si="1"/>
        <v>6</v>
      </c>
      <c r="F24" s="19" t="s">
        <v>46</v>
      </c>
      <c r="G24" s="19" t="s">
        <v>7</v>
      </c>
      <c r="H24" s="16" t="str">
        <f>_xlfn.XLOOKUP(G24,'1-Players'!$A$2:$A$27,'1-Players'!$D$2:$D$27,"")</f>
        <v>Álex Reyes</v>
      </c>
      <c r="I24" s="19" t="s">
        <v>84</v>
      </c>
      <c r="J24" s="19"/>
      <c r="K24" s="16" t="str" cm="1">
        <f t="array" ref="K24">IFERROR(_xlfn.IFS(I24="Free Throw",1,I24="2-Point Shot",2,I24="Dunk",2,I24="3-Point Shot",3),"")</f>
        <v/>
      </c>
      <c r="L24" s="16" t="str" cm="1">
        <f t="array" ref="L24">IFERROR(_xlfn.IFS(J24="Made",1,J24="Missed",0),"")</f>
        <v/>
      </c>
      <c r="M24" s="16" t="str">
        <f t="shared" si="2"/>
        <v/>
      </c>
      <c r="N24" s="16" t="str">
        <f t="shared" si="3"/>
        <v/>
      </c>
      <c r="O24" s="16" t="str">
        <f t="shared" si="4"/>
        <v/>
      </c>
      <c r="P24" s="16">
        <f>SUM($N$2:N24)</f>
        <v>7</v>
      </c>
      <c r="Q24" s="16">
        <f>SUM($O$2:O24)</f>
        <v>4</v>
      </c>
      <c r="R24" s="52" t="str">
        <f t="shared" si="5"/>
        <v/>
      </c>
      <c r="S24" s="53" t="str">
        <f t="shared" si="6"/>
        <v/>
      </c>
      <c r="T24" s="16">
        <v>17</v>
      </c>
      <c r="U24" s="16">
        <v>17</v>
      </c>
      <c r="V24" s="16" t="str">
        <v>MAN 17 - 17 LLE</v>
      </c>
      <c r="W24" s="50">
        <v>2.3148148148148147E-3</v>
      </c>
    </row>
    <row r="25" spans="1:23" x14ac:dyDescent="0.35">
      <c r="A25" s="19">
        <v>1</v>
      </c>
      <c r="B25" s="19">
        <v>24</v>
      </c>
      <c r="C25" s="47">
        <v>5.5208333333333333E-3</v>
      </c>
      <c r="D25" s="16">
        <f t="shared" si="0"/>
        <v>7</v>
      </c>
      <c r="E25" s="16">
        <f t="shared" si="1"/>
        <v>57</v>
      </c>
      <c r="F25" s="19" t="s">
        <v>46</v>
      </c>
      <c r="G25" s="19" t="s">
        <v>7</v>
      </c>
      <c r="H25" s="16" t="str">
        <f>_xlfn.XLOOKUP(G25,'1-Players'!$A$2:$A$27,'1-Players'!$D$2:$D$27,"")</f>
        <v>Álex Reyes</v>
      </c>
      <c r="I25" s="19" t="s">
        <v>83</v>
      </c>
      <c r="J25" s="19" t="s">
        <v>60</v>
      </c>
      <c r="K25" s="16" cm="1">
        <f t="array" ref="K25">IFERROR(_xlfn.IFS(I25="Free Throw",1,I25="2-Point Shot",2,I25="Dunk",2,I25="3-Point Shot",3),"")</f>
        <v>3</v>
      </c>
      <c r="L25" s="16" cm="1">
        <f t="array" ref="L25">IFERROR(_xlfn.IFS(J25="Made",1,J25="Missed",0),"")</f>
        <v>1</v>
      </c>
      <c r="M25" s="16">
        <f t="shared" si="2"/>
        <v>3</v>
      </c>
      <c r="N25" s="16">
        <f>IF(AND(F25="MANRESA", L25=1), M25, "")</f>
        <v>3</v>
      </c>
      <c r="O25" s="16" t="str">
        <f t="shared" si="4"/>
        <v/>
      </c>
      <c r="P25" s="16">
        <f>SUM($N$2:N25)</f>
        <v>10</v>
      </c>
      <c r="Q25" s="16">
        <f>SUM($O$2:O25)</f>
        <v>4</v>
      </c>
      <c r="R25" s="52" t="str">
        <f t="shared" si="5"/>
        <v>MAN 10 - 4 LLE</v>
      </c>
      <c r="S25" s="53">
        <f t="shared" si="6"/>
        <v>5.5208333333333333E-3</v>
      </c>
      <c r="T25" s="16">
        <v>18</v>
      </c>
      <c r="U25" s="16">
        <v>17</v>
      </c>
      <c r="V25" s="16" t="str">
        <v>MAN 18 - 17 LLE</v>
      </c>
      <c r="W25" s="50">
        <v>2.3148148148148147E-3</v>
      </c>
    </row>
    <row r="26" spans="1:23" x14ac:dyDescent="0.35">
      <c r="A26" s="19">
        <v>1</v>
      </c>
      <c r="B26" s="19">
        <v>25</v>
      </c>
      <c r="C26" s="47">
        <v>5.5208333333333333E-3</v>
      </c>
      <c r="D26" s="16">
        <f t="shared" si="0"/>
        <v>7</v>
      </c>
      <c r="E26" s="16">
        <f t="shared" si="1"/>
        <v>57</v>
      </c>
      <c r="F26" s="19" t="s">
        <v>46</v>
      </c>
      <c r="G26" s="19" t="s">
        <v>35</v>
      </c>
      <c r="H26" s="16" t="str">
        <f>_xlfn.XLOOKUP(G26,'1-Players'!$A$2:$A$27,'1-Players'!$D$2:$D$27,"")</f>
        <v>Grant Golden</v>
      </c>
      <c r="I26" s="19" t="s">
        <v>61</v>
      </c>
      <c r="J26" s="19"/>
      <c r="K26" s="16" t="str" cm="1">
        <f t="array" ref="K26">IFERROR(_xlfn.IFS(I26="Free Throw",1,I26="2-Point Shot",2,I26="Dunk",2,I26="3-Point Shot",3),"")</f>
        <v/>
      </c>
      <c r="L26" s="16" t="str" cm="1">
        <f t="array" ref="L26">IFERROR(_xlfn.IFS(J26="Made",1,J26="Missed",0),"")</f>
        <v/>
      </c>
      <c r="M26" s="16" t="str">
        <f t="shared" si="2"/>
        <v/>
      </c>
      <c r="N26" s="16" t="str">
        <f t="shared" si="3"/>
        <v/>
      </c>
      <c r="O26" s="16" t="str">
        <f t="shared" si="4"/>
        <v/>
      </c>
      <c r="P26" s="16">
        <f>SUM($N$2:N26)</f>
        <v>10</v>
      </c>
      <c r="Q26" s="16">
        <f>SUM($O$2:O26)</f>
        <v>4</v>
      </c>
      <c r="R26" s="52" t="str">
        <f t="shared" si="5"/>
        <v/>
      </c>
      <c r="S26" s="53" t="str">
        <f t="shared" si="6"/>
        <v/>
      </c>
      <c r="T26" s="16">
        <v>19</v>
      </c>
      <c r="U26" s="16">
        <v>17</v>
      </c>
      <c r="V26" s="16" t="str">
        <v>MAN 19 - 17 LLE</v>
      </c>
      <c r="W26" s="50">
        <v>2.3148148148148147E-3</v>
      </c>
    </row>
    <row r="27" spans="1:23" x14ac:dyDescent="0.35">
      <c r="A27" s="19">
        <v>1</v>
      </c>
      <c r="B27" s="19">
        <v>26</v>
      </c>
      <c r="C27" s="47">
        <v>5.2662037037037035E-3</v>
      </c>
      <c r="D27" s="16">
        <f t="shared" si="0"/>
        <v>7</v>
      </c>
      <c r="E27" s="16">
        <f t="shared" si="1"/>
        <v>35</v>
      </c>
      <c r="F27" s="19" t="s">
        <v>46</v>
      </c>
      <c r="G27" s="19" t="s">
        <v>73</v>
      </c>
      <c r="H27" s="16" t="str">
        <f>_xlfn.XLOOKUP(G27,'1-Players'!$A$2:$A$27,'1-Players'!$D$2:$D$27,"")</f>
        <v>Hugo Benítez</v>
      </c>
      <c r="I27" s="19" t="s">
        <v>106</v>
      </c>
      <c r="J27" s="19" t="s">
        <v>107</v>
      </c>
      <c r="K27" s="16" t="str" cm="1">
        <f t="array" ref="K27">IFERROR(_xlfn.IFS(I27="Free Throw",1,I27="2-Point Shot",2,I27="Dunk",2,I27="3-Point Shot",3),"")</f>
        <v/>
      </c>
      <c r="L27" s="16" t="str" cm="1">
        <f t="array" ref="L27">IFERROR(_xlfn.IFS(J27="Made",1,J27="Missed",0),"")</f>
        <v/>
      </c>
      <c r="M27" s="16" t="str">
        <f t="shared" si="2"/>
        <v/>
      </c>
      <c r="N27" s="16" t="str">
        <f t="shared" si="3"/>
        <v/>
      </c>
      <c r="O27" s="16" t="str">
        <f t="shared" si="4"/>
        <v/>
      </c>
      <c r="P27" s="16">
        <f>SUM($N$2:N27)</f>
        <v>10</v>
      </c>
      <c r="Q27" s="16">
        <f>SUM($O$2:O27)</f>
        <v>4</v>
      </c>
      <c r="R27" s="52" t="str">
        <f t="shared" si="5"/>
        <v/>
      </c>
      <c r="S27" s="53" t="str">
        <f t="shared" si="6"/>
        <v/>
      </c>
      <c r="T27" s="16">
        <v>21</v>
      </c>
      <c r="U27" s="16">
        <v>17</v>
      </c>
      <c r="V27" s="16" t="str">
        <v>MAN 21 - 17 LLE</v>
      </c>
      <c r="W27" s="50">
        <v>1.9328703703703704E-3</v>
      </c>
    </row>
    <row r="28" spans="1:23" x14ac:dyDescent="0.35">
      <c r="A28" s="19">
        <v>1</v>
      </c>
      <c r="B28" s="19">
        <v>27</v>
      </c>
      <c r="C28" s="47">
        <v>5.2662037037037035E-3</v>
      </c>
      <c r="D28" s="16">
        <f t="shared" si="0"/>
        <v>7</v>
      </c>
      <c r="E28" s="16">
        <f t="shared" si="1"/>
        <v>35</v>
      </c>
      <c r="F28" s="19" t="s">
        <v>16</v>
      </c>
      <c r="G28" s="19" t="s">
        <v>20</v>
      </c>
      <c r="H28" s="16" t="str">
        <f>_xlfn.XLOOKUP(G28,'1-Players'!$A$2:$A$27,'1-Players'!$D$2:$D$27,"")</f>
        <v>Caleb Agada</v>
      </c>
      <c r="I28" s="19" t="s">
        <v>108</v>
      </c>
      <c r="J28" s="19"/>
      <c r="K28" s="16" t="str" cm="1">
        <f t="array" ref="K28">IFERROR(_xlfn.IFS(I28="Free Throw",1,I28="2-Point Shot",2,I28="Dunk",2,I28="3-Point Shot",3),"")</f>
        <v/>
      </c>
      <c r="L28" s="16" t="str" cm="1">
        <f t="array" ref="L28">IFERROR(_xlfn.IFS(J28="Made",1,J28="Missed",0),"")</f>
        <v/>
      </c>
      <c r="M28" s="16" t="str">
        <f t="shared" si="2"/>
        <v/>
      </c>
      <c r="N28" s="16" t="str">
        <f t="shared" si="3"/>
        <v/>
      </c>
      <c r="O28" s="16" t="str">
        <f t="shared" si="4"/>
        <v/>
      </c>
      <c r="P28" s="16">
        <f>SUM($N$2:N28)</f>
        <v>10</v>
      </c>
      <c r="Q28" s="16">
        <f>SUM($O$2:O28)</f>
        <v>4</v>
      </c>
      <c r="R28" s="52" t="str">
        <f t="shared" si="5"/>
        <v/>
      </c>
      <c r="S28" s="53" t="str">
        <f t="shared" si="6"/>
        <v/>
      </c>
      <c r="T28" s="16">
        <v>21</v>
      </c>
      <c r="U28" s="16">
        <v>18</v>
      </c>
      <c r="V28" s="16" t="str">
        <v>MAN 21 - 18 LLE</v>
      </c>
      <c r="W28" s="50">
        <v>1.7013888888888888E-3</v>
      </c>
    </row>
    <row r="29" spans="1:23" x14ac:dyDescent="0.35">
      <c r="A29" s="19">
        <v>1</v>
      </c>
      <c r="B29" s="19">
        <v>28</v>
      </c>
      <c r="C29" s="47">
        <v>5.2662037037037035E-3</v>
      </c>
      <c r="D29" s="16">
        <f t="shared" si="0"/>
        <v>7</v>
      </c>
      <c r="E29" s="16">
        <f t="shared" si="1"/>
        <v>35</v>
      </c>
      <c r="F29" s="19" t="s">
        <v>16</v>
      </c>
      <c r="G29" s="19" t="s">
        <v>20</v>
      </c>
      <c r="H29" s="16" t="str">
        <f>_xlfn.XLOOKUP(G29,'1-Players'!$A$2:$A$27,'1-Players'!$D$2:$D$27,"")</f>
        <v>Caleb Agada</v>
      </c>
      <c r="I29" s="19" t="s">
        <v>85</v>
      </c>
      <c r="J29" s="19" t="s">
        <v>60</v>
      </c>
      <c r="K29" s="16" cm="1">
        <f t="array" ref="K29">IFERROR(_xlfn.IFS(I29="Free Throw",1,I29="2-Point Shot",2,I29="Dunk",2,I29="3-Point Shot",3),"")</f>
        <v>1</v>
      </c>
      <c r="L29" s="16" cm="1">
        <f t="array" ref="L29">IFERROR(_xlfn.IFS(J29="Made",1,J29="Missed",0),"")</f>
        <v>1</v>
      </c>
      <c r="M29" s="16">
        <f t="shared" si="2"/>
        <v>1</v>
      </c>
      <c r="N29" s="16" t="str">
        <f t="shared" si="3"/>
        <v/>
      </c>
      <c r="O29" s="16">
        <f t="shared" si="4"/>
        <v>1</v>
      </c>
      <c r="P29" s="16">
        <f>SUM($N$2:N29)</f>
        <v>10</v>
      </c>
      <c r="Q29" s="16">
        <f>SUM($O$2:O29)</f>
        <v>5</v>
      </c>
      <c r="R29" s="52" t="str">
        <f t="shared" si="5"/>
        <v>MAN 10 - 5 LLE</v>
      </c>
      <c r="S29" s="53">
        <f t="shared" si="6"/>
        <v>5.2662037037037035E-3</v>
      </c>
      <c r="T29" s="16">
        <v>22</v>
      </c>
      <c r="U29" s="16">
        <v>18</v>
      </c>
      <c r="V29" s="16" t="str">
        <v>MAN 22 - 18 LLE</v>
      </c>
      <c r="W29" s="50">
        <v>1.5509259259259259E-3</v>
      </c>
    </row>
    <row r="30" spans="1:23" x14ac:dyDescent="0.35">
      <c r="A30" s="19">
        <v>1</v>
      </c>
      <c r="B30" s="19">
        <v>29</v>
      </c>
      <c r="C30" s="47">
        <v>5.2662037037037035E-3</v>
      </c>
      <c r="D30" s="16">
        <f t="shared" si="0"/>
        <v>7</v>
      </c>
      <c r="E30" s="16">
        <f t="shared" si="1"/>
        <v>35</v>
      </c>
      <c r="F30" s="19" t="s">
        <v>16</v>
      </c>
      <c r="G30" s="19" t="s">
        <v>20</v>
      </c>
      <c r="H30" s="16" t="str">
        <f>_xlfn.XLOOKUP(G30,'1-Players'!$A$2:$A$27,'1-Players'!$D$2:$D$27,"")</f>
        <v>Caleb Agada</v>
      </c>
      <c r="I30" s="19" t="s">
        <v>85</v>
      </c>
      <c r="J30" s="19" t="s">
        <v>60</v>
      </c>
      <c r="K30" s="16" cm="1">
        <f t="array" ref="K30">IFERROR(_xlfn.IFS(I30="Free Throw",1,I30="2-Point Shot",2,I30="Dunk",2,I30="3-Point Shot",3),"")</f>
        <v>1</v>
      </c>
      <c r="L30" s="16" cm="1">
        <f t="array" ref="L30">IFERROR(_xlfn.IFS(J30="Made",1,J30="Missed",0),"")</f>
        <v>1</v>
      </c>
      <c r="M30" s="16">
        <f t="shared" si="2"/>
        <v>1</v>
      </c>
      <c r="N30" s="16" t="str">
        <f t="shared" si="3"/>
        <v/>
      </c>
      <c r="O30" s="16">
        <f t="shared" si="4"/>
        <v>1</v>
      </c>
      <c r="P30" s="16">
        <f>SUM($N$2:N30)</f>
        <v>10</v>
      </c>
      <c r="Q30" s="16">
        <f>SUM($O$2:O30)</f>
        <v>6</v>
      </c>
      <c r="R30" s="52" t="str">
        <f t="shared" si="5"/>
        <v>MAN 10 - 6 LLE</v>
      </c>
      <c r="S30" s="53">
        <f t="shared" si="6"/>
        <v>5.2662037037037035E-3</v>
      </c>
      <c r="T30" s="16">
        <v>22</v>
      </c>
      <c r="U30" s="16">
        <v>20</v>
      </c>
      <c r="V30" s="16" t="str">
        <v>MAN 22 - 20 LLE</v>
      </c>
      <c r="W30" s="50">
        <v>1.4004629629629629E-3</v>
      </c>
    </row>
    <row r="31" spans="1:23" x14ac:dyDescent="0.35">
      <c r="A31" s="19">
        <v>1</v>
      </c>
      <c r="B31" s="19">
        <v>30</v>
      </c>
      <c r="C31" s="47">
        <v>5.2199074074074075E-3</v>
      </c>
      <c r="D31" s="16">
        <f t="shared" si="0"/>
        <v>7</v>
      </c>
      <c r="E31" s="16">
        <f t="shared" si="1"/>
        <v>31</v>
      </c>
      <c r="F31" s="19" t="s">
        <v>46</v>
      </c>
      <c r="G31" s="19" t="s">
        <v>11</v>
      </c>
      <c r="H31" s="16" t="str">
        <f>_xlfn.XLOOKUP(G31,'1-Players'!$A$2:$A$27,'1-Players'!$D$2:$D$27,"")</f>
        <v>Marcis Steinbergs</v>
      </c>
      <c r="I31" s="19" t="s">
        <v>82</v>
      </c>
      <c r="J31" s="19" t="s">
        <v>63</v>
      </c>
      <c r="K31" s="16" cm="1">
        <f t="array" ref="K31">IFERROR(_xlfn.IFS(I31="Free Throw",1,I31="2-Point Shot",2,I31="Dunk",2,I31="3-Point Shot",3),"")</f>
        <v>2</v>
      </c>
      <c r="L31" s="16" cm="1">
        <f t="array" ref="L31">IFERROR(_xlfn.IFS(J31="Made",1,J31="Missed",0),"")</f>
        <v>0</v>
      </c>
      <c r="M31" s="16">
        <f t="shared" si="2"/>
        <v>0</v>
      </c>
      <c r="N31" s="16" t="str">
        <f t="shared" si="3"/>
        <v/>
      </c>
      <c r="O31" s="16" t="str">
        <f t="shared" si="4"/>
        <v/>
      </c>
      <c r="P31" s="16">
        <f>SUM($N$2:N31)</f>
        <v>10</v>
      </c>
      <c r="Q31" s="16">
        <f>SUM($O$2:O31)</f>
        <v>6</v>
      </c>
      <c r="R31" s="52" t="str">
        <f t="shared" si="5"/>
        <v/>
      </c>
      <c r="S31" s="53" t="str">
        <f t="shared" si="6"/>
        <v/>
      </c>
      <c r="T31" s="16">
        <v>22</v>
      </c>
      <c r="U31" s="16">
        <v>21</v>
      </c>
      <c r="V31" s="16" t="str">
        <v>MAN 22 - 21 LLE</v>
      </c>
      <c r="W31" s="50">
        <v>1.4004629629629629E-3</v>
      </c>
    </row>
    <row r="32" spans="1:23" x14ac:dyDescent="0.35">
      <c r="A32" s="19">
        <v>1</v>
      </c>
      <c r="B32" s="19">
        <v>31</v>
      </c>
      <c r="C32" s="47">
        <v>5.2199074074074075E-3</v>
      </c>
      <c r="D32" s="16">
        <f t="shared" si="0"/>
        <v>7</v>
      </c>
      <c r="E32" s="16">
        <f t="shared" si="1"/>
        <v>31</v>
      </c>
      <c r="F32" s="19" t="s">
        <v>46</v>
      </c>
      <c r="G32" s="19" t="s">
        <v>11</v>
      </c>
      <c r="H32" s="16" t="str">
        <f>_xlfn.XLOOKUP(G32,'1-Players'!$A$2:$A$27,'1-Players'!$D$2:$D$27,"")</f>
        <v>Marcis Steinbergs</v>
      </c>
      <c r="I32" s="19" t="s">
        <v>86</v>
      </c>
      <c r="J32" s="19"/>
      <c r="K32" s="16" t="str" cm="1">
        <f t="array" ref="K32">IFERROR(_xlfn.IFS(I32="Free Throw",1,I32="2-Point Shot",2,I32="Dunk",2,I32="3-Point Shot",3),"")</f>
        <v/>
      </c>
      <c r="L32" s="16" t="str" cm="1">
        <f t="array" ref="L32">IFERROR(_xlfn.IFS(J32="Made",1,J32="Missed",0),"")</f>
        <v/>
      </c>
      <c r="M32" s="16" t="str">
        <f t="shared" si="2"/>
        <v/>
      </c>
      <c r="N32" s="16" t="str">
        <f t="shared" si="3"/>
        <v/>
      </c>
      <c r="O32" s="16" t="str">
        <f t="shared" si="4"/>
        <v/>
      </c>
      <c r="P32" s="16">
        <f>SUM($N$2:N32)</f>
        <v>10</v>
      </c>
      <c r="Q32" s="16">
        <f>SUM($O$2:O32)</f>
        <v>6</v>
      </c>
      <c r="R32" s="52" t="str">
        <f t="shared" si="5"/>
        <v/>
      </c>
      <c r="S32" s="53" t="str">
        <f t="shared" si="6"/>
        <v/>
      </c>
      <c r="T32" s="16">
        <v>24</v>
      </c>
      <c r="U32" s="16">
        <v>21</v>
      </c>
      <c r="V32" s="16" t="str">
        <v>MAN 24 - 21 LLE</v>
      </c>
      <c r="W32" s="50">
        <v>1.0185185185185184E-3</v>
      </c>
    </row>
    <row r="33" spans="1:23" x14ac:dyDescent="0.35">
      <c r="A33" s="19">
        <v>1</v>
      </c>
      <c r="B33" s="19">
        <v>32</v>
      </c>
      <c r="C33" s="47">
        <v>5.2199074074074075E-3</v>
      </c>
      <c r="D33" s="16">
        <f t="shared" si="0"/>
        <v>7</v>
      </c>
      <c r="E33" s="16">
        <f t="shared" si="1"/>
        <v>31</v>
      </c>
      <c r="F33" s="19" t="s">
        <v>16</v>
      </c>
      <c r="G33" s="19" t="s">
        <v>38</v>
      </c>
      <c r="H33" s="16" t="str">
        <f>_xlfn.XLOOKUP(G33,'1-Players'!$A$2:$A$27,'1-Players'!$D$2:$D$27,"")</f>
        <v>Mikel Sanz</v>
      </c>
      <c r="I33" s="19" t="s">
        <v>64</v>
      </c>
      <c r="J33" s="19"/>
      <c r="K33" s="16" t="str" cm="1">
        <f t="array" ref="K33">IFERROR(_xlfn.IFS(I33="Free Throw",1,I33="2-Point Shot",2,I33="Dunk",2,I33="3-Point Shot",3),"")</f>
        <v/>
      </c>
      <c r="L33" s="16" t="str" cm="1">
        <f t="array" ref="L33">IFERROR(_xlfn.IFS(J33="Made",1,J33="Missed",0),"")</f>
        <v/>
      </c>
      <c r="M33" s="16" t="str">
        <f t="shared" si="2"/>
        <v/>
      </c>
      <c r="N33" s="16" t="str">
        <f t="shared" si="3"/>
        <v/>
      </c>
      <c r="O33" s="16" t="str">
        <f t="shared" si="4"/>
        <v/>
      </c>
      <c r="P33" s="16">
        <f>SUM($N$2:N33)</f>
        <v>10</v>
      </c>
      <c r="Q33" s="16">
        <f>SUM($O$2:O33)</f>
        <v>6</v>
      </c>
      <c r="R33" s="52" t="str">
        <f t="shared" si="5"/>
        <v/>
      </c>
      <c r="S33" s="53" t="str">
        <f t="shared" si="6"/>
        <v/>
      </c>
      <c r="T33" s="16">
        <v>24</v>
      </c>
      <c r="U33" s="16">
        <v>23</v>
      </c>
      <c r="V33" s="16" t="str">
        <v>MAN 24 - 23 LLE</v>
      </c>
      <c r="W33" s="50">
        <v>7.407407407407407E-4</v>
      </c>
    </row>
    <row r="34" spans="1:23" x14ac:dyDescent="0.35">
      <c r="A34" s="19">
        <v>1</v>
      </c>
      <c r="B34" s="19">
        <v>33</v>
      </c>
      <c r="C34" s="47">
        <v>5.2199074074074075E-3</v>
      </c>
      <c r="D34" s="16">
        <f t="shared" si="0"/>
        <v>7</v>
      </c>
      <c r="E34" s="16">
        <f t="shared" si="1"/>
        <v>31</v>
      </c>
      <c r="F34" s="19" t="s">
        <v>46</v>
      </c>
      <c r="G34" s="19" t="s">
        <v>120</v>
      </c>
      <c r="H34" s="16" t="str">
        <f>_xlfn.XLOOKUP(G34,'1-Players'!$A$2:$A$27,'1-Players'!$D$2:$D$27,"")</f>
        <v>TEAM - Manresa</v>
      </c>
      <c r="I34" s="19" t="s">
        <v>109</v>
      </c>
      <c r="J34" s="19"/>
      <c r="K34" s="16" t="str" cm="1">
        <f t="array" ref="K34">IFERROR(_xlfn.IFS(I34="Free Throw",1,I34="2-Point Shot",2,I34="Dunk",2,I34="3-Point Shot",3),"")</f>
        <v/>
      </c>
      <c r="L34" s="16" t="str" cm="1">
        <f t="array" ref="L34">IFERROR(_xlfn.IFS(J34="Made",1,J34="Missed",0),"")</f>
        <v/>
      </c>
      <c r="M34" s="16" t="str">
        <f t="shared" si="2"/>
        <v/>
      </c>
      <c r="N34" s="16" t="str">
        <f t="shared" si="3"/>
        <v/>
      </c>
      <c r="O34" s="16" t="str">
        <f t="shared" si="4"/>
        <v/>
      </c>
      <c r="P34" s="16">
        <f>SUM($N$2:N34)</f>
        <v>10</v>
      </c>
      <c r="Q34" s="16">
        <f>SUM($O$2:O34)</f>
        <v>6</v>
      </c>
      <c r="R34" s="52" t="str">
        <f t="shared" si="5"/>
        <v/>
      </c>
      <c r="S34" s="53" t="str">
        <f t="shared" si="6"/>
        <v/>
      </c>
      <c r="T34" s="16">
        <v>24</v>
      </c>
      <c r="U34" s="16">
        <v>25</v>
      </c>
      <c r="V34" s="16" t="str">
        <v>MAN 24 - 25 LLE</v>
      </c>
      <c r="W34" s="50">
        <v>3.8194444444444446E-4</v>
      </c>
    </row>
    <row r="35" spans="1:23" x14ac:dyDescent="0.35">
      <c r="A35" s="19">
        <v>1</v>
      </c>
      <c r="B35" s="19">
        <v>34</v>
      </c>
      <c r="C35" s="47">
        <v>5.2199074074074075E-3</v>
      </c>
      <c r="D35" s="16">
        <f t="shared" si="0"/>
        <v>7</v>
      </c>
      <c r="E35" s="16">
        <f t="shared" si="1"/>
        <v>31</v>
      </c>
      <c r="F35" s="19" t="s">
        <v>16</v>
      </c>
      <c r="G35" s="19" t="s">
        <v>25</v>
      </c>
      <c r="H35" s="16" t="str">
        <f>_xlfn.XLOOKUP(G35,'1-Players'!$A$2:$A$27,'1-Players'!$D$2:$D$27,"")</f>
        <v>Atoumane Diagne</v>
      </c>
      <c r="I35" s="19" t="s">
        <v>106</v>
      </c>
      <c r="J35" s="19"/>
      <c r="K35" s="16" t="str" cm="1">
        <f t="array" ref="K35">IFERROR(_xlfn.IFS(I35="Free Throw",1,I35="2-Point Shot",2,I35="Dunk",2,I35="3-Point Shot",3),"")</f>
        <v/>
      </c>
      <c r="L35" s="16" t="str" cm="1">
        <f t="array" ref="L35">IFERROR(_xlfn.IFS(J35="Made",1,J35="Missed",0),"")</f>
        <v/>
      </c>
      <c r="M35" s="16" t="str">
        <f t="shared" si="2"/>
        <v/>
      </c>
      <c r="N35" s="16" t="str">
        <f t="shared" si="3"/>
        <v/>
      </c>
      <c r="O35" s="16" t="str">
        <f t="shared" si="4"/>
        <v/>
      </c>
      <c r="P35" s="16">
        <f>SUM($N$2:N35)</f>
        <v>10</v>
      </c>
      <c r="Q35" s="16">
        <f>SUM($O$2:O35)</f>
        <v>6</v>
      </c>
      <c r="R35" s="52" t="str">
        <f t="shared" si="5"/>
        <v/>
      </c>
      <c r="S35" s="53" t="str">
        <f t="shared" si="6"/>
        <v/>
      </c>
      <c r="T35" s="16">
        <v>27</v>
      </c>
      <c r="U35" s="16">
        <v>25</v>
      </c>
      <c r="V35" s="16" t="str">
        <v>MAN 27 - 25 LLE</v>
      </c>
      <c r="W35" s="50">
        <v>1.0416666666666667E-4</v>
      </c>
    </row>
    <row r="36" spans="1:23" x14ac:dyDescent="0.35">
      <c r="A36" s="19">
        <v>1</v>
      </c>
      <c r="B36" s="19">
        <v>35</v>
      </c>
      <c r="C36" s="47">
        <v>5.2199074074074075E-3</v>
      </c>
      <c r="D36" s="16">
        <f t="shared" si="0"/>
        <v>7</v>
      </c>
      <c r="E36" s="16">
        <f t="shared" si="1"/>
        <v>31</v>
      </c>
      <c r="F36" s="19" t="s">
        <v>46</v>
      </c>
      <c r="G36" s="19" t="s">
        <v>7</v>
      </c>
      <c r="H36" s="16" t="str">
        <f>_xlfn.XLOOKUP(G36,'1-Players'!$A$2:$A$27,'1-Players'!$D$2:$D$27,"")</f>
        <v>Álex Reyes</v>
      </c>
      <c r="I36" s="19" t="s">
        <v>108</v>
      </c>
      <c r="J36" s="19"/>
      <c r="K36" s="16" t="str" cm="1">
        <f t="array" ref="K36">IFERROR(_xlfn.IFS(I36="Free Throw",1,I36="2-Point Shot",2,I36="Dunk",2,I36="3-Point Shot",3),"")</f>
        <v/>
      </c>
      <c r="L36" s="16" t="str" cm="1">
        <f t="array" ref="L36">IFERROR(_xlfn.IFS(J36="Made",1,J36="Missed",0),"")</f>
        <v/>
      </c>
      <c r="M36" s="16" t="str">
        <f t="shared" si="2"/>
        <v/>
      </c>
      <c r="N36" s="16" t="str">
        <f t="shared" si="3"/>
        <v/>
      </c>
      <c r="O36" s="16" t="str">
        <f t="shared" si="4"/>
        <v/>
      </c>
      <c r="P36" s="16">
        <f>SUM($N$2:N36)</f>
        <v>10</v>
      </c>
      <c r="Q36" s="16">
        <f>SUM($O$2:O36)</f>
        <v>6</v>
      </c>
      <c r="R36" s="52" t="str">
        <f t="shared" si="5"/>
        <v/>
      </c>
      <c r="S36" s="53" t="str">
        <f t="shared" si="6"/>
        <v/>
      </c>
      <c r="T36" s="16">
        <v>27</v>
      </c>
      <c r="U36" s="16">
        <v>27</v>
      </c>
      <c r="V36" s="16" t="str">
        <v>MAN 27 - 27 LLE</v>
      </c>
      <c r="W36" s="50">
        <v>0</v>
      </c>
    </row>
    <row r="37" spans="1:23" x14ac:dyDescent="0.35">
      <c r="A37" s="19">
        <v>1</v>
      </c>
      <c r="B37" s="19">
        <v>36</v>
      </c>
      <c r="C37" s="47">
        <v>5.115740740740741E-3</v>
      </c>
      <c r="D37" s="16">
        <f t="shared" si="0"/>
        <v>7</v>
      </c>
      <c r="E37" s="16">
        <f t="shared" si="1"/>
        <v>22</v>
      </c>
      <c r="F37" s="19" t="s">
        <v>46</v>
      </c>
      <c r="G37" s="19" t="s">
        <v>7</v>
      </c>
      <c r="H37" s="16" t="str">
        <f>_xlfn.XLOOKUP(G37,'1-Players'!$A$2:$A$27,'1-Players'!$D$2:$D$27,"")</f>
        <v>Álex Reyes</v>
      </c>
      <c r="I37" s="19" t="s">
        <v>82</v>
      </c>
      <c r="J37" s="19" t="s">
        <v>60</v>
      </c>
      <c r="K37" s="16" cm="1">
        <f t="array" ref="K37">IFERROR(_xlfn.IFS(I37="Free Throw",1,I37="2-Point Shot",2,I37="Dunk",2,I37="3-Point Shot",3),"")</f>
        <v>2</v>
      </c>
      <c r="L37" s="16" cm="1">
        <f t="array" ref="L37">IFERROR(_xlfn.IFS(J37="Made",1,J37="Missed",0),"")</f>
        <v>1</v>
      </c>
      <c r="M37" s="16">
        <f t="shared" si="2"/>
        <v>2</v>
      </c>
      <c r="N37" s="16">
        <f t="shared" si="3"/>
        <v>2</v>
      </c>
      <c r="O37" s="16" t="str">
        <f t="shared" si="4"/>
        <v/>
      </c>
      <c r="P37" s="16">
        <f>SUM($N$2:N37)</f>
        <v>12</v>
      </c>
      <c r="Q37" s="16">
        <f>SUM($O$2:O37)</f>
        <v>6</v>
      </c>
      <c r="R37" s="52" t="str">
        <f t="shared" si="5"/>
        <v>MAN 12 - 6 LLE</v>
      </c>
      <c r="S37" s="53">
        <f t="shared" si="6"/>
        <v>5.115740740740741E-3</v>
      </c>
    </row>
    <row r="38" spans="1:23" x14ac:dyDescent="0.35">
      <c r="A38" s="19">
        <v>1</v>
      </c>
      <c r="B38" s="19">
        <v>37</v>
      </c>
      <c r="C38" s="47">
        <v>5.115740740740741E-3</v>
      </c>
      <c r="D38" s="16">
        <f t="shared" si="0"/>
        <v>7</v>
      </c>
      <c r="E38" s="16">
        <f t="shared" si="1"/>
        <v>22</v>
      </c>
      <c r="F38" s="19" t="s">
        <v>46</v>
      </c>
      <c r="G38" s="19" t="s">
        <v>73</v>
      </c>
      <c r="H38" s="16" t="str">
        <f>_xlfn.XLOOKUP(G38,'1-Players'!$A$2:$A$27,'1-Players'!$D$2:$D$27,"")</f>
        <v>Hugo Benítez</v>
      </c>
      <c r="I38" s="19" t="s">
        <v>61</v>
      </c>
      <c r="J38" s="19"/>
      <c r="K38" s="16" t="str" cm="1">
        <f t="array" ref="K38">IFERROR(_xlfn.IFS(I38="Free Throw",1,I38="2-Point Shot",2,I38="Dunk",2,I38="3-Point Shot",3),"")</f>
        <v/>
      </c>
      <c r="L38" s="16" t="str" cm="1">
        <f t="array" ref="L38">IFERROR(_xlfn.IFS(J38="Made",1,J38="Missed",0),"")</f>
        <v/>
      </c>
      <c r="M38" s="16" t="str">
        <f t="shared" si="2"/>
        <v/>
      </c>
      <c r="N38" s="16" t="str">
        <f t="shared" si="3"/>
        <v/>
      </c>
      <c r="O38" s="16" t="str">
        <f t="shared" si="4"/>
        <v/>
      </c>
      <c r="P38" s="16">
        <f>SUM($N$2:N38)</f>
        <v>12</v>
      </c>
      <c r="Q38" s="16">
        <f>SUM($O$2:O38)</f>
        <v>6</v>
      </c>
      <c r="R38" s="52" t="str">
        <f t="shared" si="5"/>
        <v/>
      </c>
      <c r="S38" s="53" t="str">
        <f t="shared" si="6"/>
        <v/>
      </c>
    </row>
    <row r="39" spans="1:23" x14ac:dyDescent="0.35">
      <c r="A39" s="19">
        <v>1</v>
      </c>
      <c r="B39" s="19">
        <v>38</v>
      </c>
      <c r="C39" s="47">
        <v>4.8842592592592592E-3</v>
      </c>
      <c r="D39" s="16">
        <f t="shared" si="0"/>
        <v>7</v>
      </c>
      <c r="E39" s="16">
        <f t="shared" si="1"/>
        <v>2</v>
      </c>
      <c r="F39" s="19" t="s">
        <v>46</v>
      </c>
      <c r="G39" s="19" t="s">
        <v>13</v>
      </c>
      <c r="H39" s="16" t="str">
        <f>_xlfn.XLOOKUP(G39,'1-Players'!$A$2:$A$27,'1-Players'!$D$2:$D$27,"")</f>
        <v>Retin Obasohan</v>
      </c>
      <c r="I39" s="19" t="s">
        <v>106</v>
      </c>
      <c r="J39" s="19" t="s">
        <v>107</v>
      </c>
      <c r="K39" s="16" t="str" cm="1">
        <f t="array" ref="K39">IFERROR(_xlfn.IFS(I39="Free Throw",1,I39="2-Point Shot",2,I39="Dunk",2,I39="3-Point Shot",3),"")</f>
        <v/>
      </c>
      <c r="L39" s="16" t="str" cm="1">
        <f t="array" ref="L39">IFERROR(_xlfn.IFS(J39="Made",1,J39="Missed",0),"")</f>
        <v/>
      </c>
      <c r="M39" s="16" t="str">
        <f t="shared" si="2"/>
        <v/>
      </c>
      <c r="N39" s="16" t="str">
        <f t="shared" si="3"/>
        <v/>
      </c>
      <c r="O39" s="16" t="str">
        <f t="shared" si="4"/>
        <v/>
      </c>
      <c r="P39" s="16">
        <f>SUM($N$2:N39)</f>
        <v>12</v>
      </c>
      <c r="Q39" s="16">
        <f>SUM($O$2:O39)</f>
        <v>6</v>
      </c>
      <c r="R39" s="52" t="str">
        <f t="shared" si="5"/>
        <v/>
      </c>
      <c r="S39" s="53" t="str">
        <f t="shared" si="6"/>
        <v/>
      </c>
    </row>
    <row r="40" spans="1:23" x14ac:dyDescent="0.35">
      <c r="A40" s="19">
        <v>1</v>
      </c>
      <c r="B40" s="19">
        <v>39</v>
      </c>
      <c r="C40" s="47">
        <v>4.8842592592592592E-3</v>
      </c>
      <c r="D40" s="16">
        <f t="shared" si="0"/>
        <v>7</v>
      </c>
      <c r="E40" s="16">
        <f t="shared" si="1"/>
        <v>2</v>
      </c>
      <c r="F40" s="19" t="s">
        <v>16</v>
      </c>
      <c r="G40" s="19" t="s">
        <v>15</v>
      </c>
      <c r="H40" s="16" t="str">
        <f>_xlfn.XLOOKUP(G40,'1-Players'!$A$2:$A$27,'1-Players'!$D$2:$D$27,"")</f>
        <v>James Batemon</v>
      </c>
      <c r="I40" s="19" t="s">
        <v>108</v>
      </c>
      <c r="J40" s="19"/>
      <c r="K40" s="16" t="str" cm="1">
        <f t="array" ref="K40">IFERROR(_xlfn.IFS(I40="Free Throw",1,I40="2-Point Shot",2,I40="Dunk",2,I40="3-Point Shot",3),"")</f>
        <v/>
      </c>
      <c r="L40" s="16" t="str" cm="1">
        <f t="array" ref="L40">IFERROR(_xlfn.IFS(J40="Made",1,J40="Missed",0),"")</f>
        <v/>
      </c>
      <c r="M40" s="16" t="str">
        <f t="shared" si="2"/>
        <v/>
      </c>
      <c r="N40" s="16" t="str">
        <f t="shared" si="3"/>
        <v/>
      </c>
      <c r="O40" s="16" t="str">
        <f t="shared" si="4"/>
        <v/>
      </c>
      <c r="P40" s="16">
        <f>SUM($N$2:N40)</f>
        <v>12</v>
      </c>
      <c r="Q40" s="16">
        <f>SUM($O$2:O40)</f>
        <v>6</v>
      </c>
      <c r="R40" s="52" t="str">
        <f t="shared" si="5"/>
        <v/>
      </c>
      <c r="S40" s="53" t="str">
        <f t="shared" si="6"/>
        <v/>
      </c>
    </row>
    <row r="41" spans="1:23" x14ac:dyDescent="0.35">
      <c r="A41" s="19">
        <v>1</v>
      </c>
      <c r="B41" s="19">
        <v>40</v>
      </c>
      <c r="C41" s="47">
        <v>4.8842592592592592E-3</v>
      </c>
      <c r="D41" s="16">
        <f t="shared" si="0"/>
        <v>7</v>
      </c>
      <c r="E41" s="16">
        <f t="shared" si="1"/>
        <v>2</v>
      </c>
      <c r="F41" s="19" t="s">
        <v>16</v>
      </c>
      <c r="G41" s="19" t="s">
        <v>15</v>
      </c>
      <c r="H41" s="16" t="str">
        <f>_xlfn.XLOOKUP(G41,'1-Players'!$A$2:$A$27,'1-Players'!$D$2:$D$27,"")</f>
        <v>James Batemon</v>
      </c>
      <c r="I41" s="19" t="s">
        <v>85</v>
      </c>
      <c r="J41" s="19" t="s">
        <v>63</v>
      </c>
      <c r="K41" s="16" cm="1">
        <f t="array" ref="K41">IFERROR(_xlfn.IFS(I41="Free Throw",1,I41="2-Point Shot",2,I41="Dunk",2,I41="3-Point Shot",3),"")</f>
        <v>1</v>
      </c>
      <c r="L41" s="16" cm="1">
        <f t="array" ref="L41">IFERROR(_xlfn.IFS(J41="Made",1,J41="Missed",0),"")</f>
        <v>0</v>
      </c>
      <c r="M41" s="16">
        <f t="shared" si="2"/>
        <v>0</v>
      </c>
      <c r="N41" s="16" t="str">
        <f t="shared" si="3"/>
        <v/>
      </c>
      <c r="O41" s="16" t="str">
        <f t="shared" si="4"/>
        <v/>
      </c>
      <c r="P41" s="16">
        <f>SUM($N$2:N41)</f>
        <v>12</v>
      </c>
      <c r="Q41" s="16">
        <f>SUM($O$2:O41)</f>
        <v>6</v>
      </c>
      <c r="R41" s="52" t="str">
        <f t="shared" si="5"/>
        <v/>
      </c>
      <c r="S41" s="53" t="str">
        <f t="shared" si="6"/>
        <v/>
      </c>
    </row>
    <row r="42" spans="1:23" x14ac:dyDescent="0.35">
      <c r="A42" s="19">
        <v>1</v>
      </c>
      <c r="B42" s="19">
        <v>41</v>
      </c>
      <c r="C42" s="47">
        <v>4.8842592592592592E-3</v>
      </c>
      <c r="D42" s="16">
        <f t="shared" si="0"/>
        <v>7</v>
      </c>
      <c r="E42" s="16">
        <f t="shared" si="1"/>
        <v>2</v>
      </c>
      <c r="F42" s="19" t="s">
        <v>16</v>
      </c>
      <c r="G42" s="19" t="s">
        <v>15</v>
      </c>
      <c r="H42" s="16" t="str">
        <f>_xlfn.XLOOKUP(G42,'1-Players'!$A$2:$A$27,'1-Players'!$D$2:$D$27,"")</f>
        <v>James Batemon</v>
      </c>
      <c r="I42" s="19" t="s">
        <v>85</v>
      </c>
      <c r="J42" s="19" t="s">
        <v>60</v>
      </c>
      <c r="K42" s="16" cm="1">
        <f t="array" ref="K42">IFERROR(_xlfn.IFS(I42="Free Throw",1,I42="2-Point Shot",2,I42="Dunk",2,I42="3-Point Shot",3),"")</f>
        <v>1</v>
      </c>
      <c r="L42" s="16" cm="1">
        <f t="array" ref="L42">IFERROR(_xlfn.IFS(J42="Made",1,J42="Missed",0),"")</f>
        <v>1</v>
      </c>
      <c r="M42" s="16">
        <f t="shared" si="2"/>
        <v>1</v>
      </c>
      <c r="N42" s="16" t="str">
        <f t="shared" si="3"/>
        <v/>
      </c>
      <c r="O42" s="16">
        <f t="shared" si="4"/>
        <v>1</v>
      </c>
      <c r="P42" s="16">
        <f>SUM($N$2:N42)</f>
        <v>12</v>
      </c>
      <c r="Q42" s="16">
        <f>SUM($O$2:O42)</f>
        <v>7</v>
      </c>
      <c r="R42" s="52" t="str">
        <f t="shared" si="5"/>
        <v>MAN 12 - 7 LLE</v>
      </c>
      <c r="S42" s="53">
        <f t="shared" si="6"/>
        <v>4.8842592592592592E-3</v>
      </c>
    </row>
    <row r="43" spans="1:23" x14ac:dyDescent="0.35">
      <c r="A43" s="19">
        <v>1</v>
      </c>
      <c r="B43" s="19">
        <v>42</v>
      </c>
      <c r="C43" s="47">
        <v>4.6990740740740743E-3</v>
      </c>
      <c r="D43" s="16">
        <f t="shared" si="0"/>
        <v>6</v>
      </c>
      <c r="E43" s="16">
        <f t="shared" si="1"/>
        <v>46</v>
      </c>
      <c r="F43" s="19" t="s">
        <v>16</v>
      </c>
      <c r="G43" s="19" t="s">
        <v>25</v>
      </c>
      <c r="H43" s="16" t="str">
        <f>_xlfn.XLOOKUP(G43,'1-Players'!$A$2:$A$27,'1-Players'!$D$2:$D$27,"")</f>
        <v>Atoumane Diagne</v>
      </c>
      <c r="I43" s="19" t="s">
        <v>106</v>
      </c>
      <c r="J43" s="19" t="s">
        <v>107</v>
      </c>
      <c r="K43" s="16" t="str" cm="1">
        <f t="array" ref="K43">IFERROR(_xlfn.IFS(I43="Free Throw",1,I43="2-Point Shot",2,I43="Dunk",2,I43="3-Point Shot",3),"")</f>
        <v/>
      </c>
      <c r="L43" s="16" t="str" cm="1">
        <f t="array" ref="L43">IFERROR(_xlfn.IFS(J43="Made",1,J43="Missed",0),"")</f>
        <v/>
      </c>
      <c r="M43" s="16" t="str">
        <f t="shared" si="2"/>
        <v/>
      </c>
      <c r="N43" s="16" t="str">
        <f t="shared" si="3"/>
        <v/>
      </c>
      <c r="O43" s="16" t="str">
        <f t="shared" si="4"/>
        <v/>
      </c>
      <c r="P43" s="16">
        <f>SUM($N$2:N43)</f>
        <v>12</v>
      </c>
      <c r="Q43" s="16">
        <f>SUM($O$2:O43)</f>
        <v>7</v>
      </c>
      <c r="R43" s="52" t="str">
        <f t="shared" si="5"/>
        <v/>
      </c>
      <c r="S43" s="53" t="str">
        <f t="shared" si="6"/>
        <v/>
      </c>
    </row>
    <row r="44" spans="1:23" x14ac:dyDescent="0.35">
      <c r="A44" s="16">
        <v>1</v>
      </c>
      <c r="B44" s="19">
        <v>43</v>
      </c>
      <c r="C44" s="47">
        <v>4.6990740740740743E-3</v>
      </c>
      <c r="D44" s="16">
        <f t="shared" si="0"/>
        <v>6</v>
      </c>
      <c r="E44" s="16">
        <f t="shared" si="1"/>
        <v>46</v>
      </c>
      <c r="F44" s="19" t="s">
        <v>46</v>
      </c>
      <c r="G44" s="19" t="s">
        <v>73</v>
      </c>
      <c r="H44" s="16" t="str">
        <f>_xlfn.XLOOKUP(G44,'1-Players'!$A$2:$A$27,'1-Players'!$D$2:$D$27,"")</f>
        <v>Hugo Benítez</v>
      </c>
      <c r="I44" s="19" t="s">
        <v>108</v>
      </c>
      <c r="J44" s="19"/>
      <c r="K44" s="16" t="str" cm="1">
        <f t="array" ref="K44">IFERROR(_xlfn.IFS(I44="Free Throw",1,I44="2-Point Shot",2,I44="Dunk",2,I44="3-Point Shot",3),"")</f>
        <v/>
      </c>
      <c r="L44" s="16" t="str" cm="1">
        <f t="array" ref="L44">IFERROR(_xlfn.IFS(J44="Made",1,J44="Missed",0),"")</f>
        <v/>
      </c>
      <c r="M44" s="16" t="str">
        <f t="shared" si="2"/>
        <v/>
      </c>
      <c r="N44" s="16" t="str">
        <f t="shared" si="3"/>
        <v/>
      </c>
      <c r="O44" s="16" t="str">
        <f t="shared" si="4"/>
        <v/>
      </c>
      <c r="P44" s="16">
        <f>SUM($N$2:N44)</f>
        <v>12</v>
      </c>
      <c r="Q44" s="16">
        <f>SUM($O$2:O44)</f>
        <v>7</v>
      </c>
      <c r="R44" s="52" t="str">
        <f t="shared" si="5"/>
        <v/>
      </c>
      <c r="S44" s="53" t="str">
        <f t="shared" si="6"/>
        <v/>
      </c>
    </row>
    <row r="45" spans="1:23" x14ac:dyDescent="0.35">
      <c r="A45" s="16">
        <v>1</v>
      </c>
      <c r="B45" s="19">
        <v>44</v>
      </c>
      <c r="C45" s="47">
        <v>4.6990740740740743E-3</v>
      </c>
      <c r="D45" s="16">
        <f t="shared" si="0"/>
        <v>6</v>
      </c>
      <c r="E45" s="16">
        <f t="shared" si="1"/>
        <v>46</v>
      </c>
      <c r="F45" s="19" t="s">
        <v>16</v>
      </c>
      <c r="G45" s="19" t="s">
        <v>25</v>
      </c>
      <c r="H45" s="16" t="str">
        <f>_xlfn.XLOOKUP(G45,'1-Players'!$A$2:$A$27,'1-Players'!$D$2:$D$27,"")</f>
        <v>Atoumane Diagne</v>
      </c>
      <c r="I45" s="19" t="s">
        <v>110</v>
      </c>
      <c r="J45" s="19"/>
      <c r="K45" s="16" t="str" cm="1">
        <f t="array" ref="K45">IFERROR(_xlfn.IFS(I45="Free Throw",1,I45="2-Point Shot",2,I45="Dunk",2,I45="3-Point Shot",3),"")</f>
        <v/>
      </c>
      <c r="L45" s="16" t="str" cm="1">
        <f t="array" ref="L45">IFERROR(_xlfn.IFS(J45="Made",1,J45="Missed",0),"")</f>
        <v/>
      </c>
      <c r="M45" s="16" t="str">
        <f t="shared" si="2"/>
        <v/>
      </c>
      <c r="N45" s="16" t="str">
        <f t="shared" si="3"/>
        <v/>
      </c>
      <c r="O45" s="16" t="str">
        <f t="shared" si="4"/>
        <v/>
      </c>
      <c r="P45" s="16">
        <f>SUM($N$2:N45)</f>
        <v>12</v>
      </c>
      <c r="Q45" s="16">
        <f>SUM($O$2:O45)</f>
        <v>7</v>
      </c>
      <c r="R45" s="52" t="str">
        <f t="shared" si="5"/>
        <v/>
      </c>
      <c r="S45" s="53" t="str">
        <f t="shared" si="6"/>
        <v/>
      </c>
    </row>
    <row r="46" spans="1:23" x14ac:dyDescent="0.35">
      <c r="A46" s="16">
        <v>1</v>
      </c>
      <c r="B46" s="19">
        <v>45</v>
      </c>
      <c r="C46" s="47">
        <v>4.6990740740740743E-3</v>
      </c>
      <c r="D46" s="16">
        <f t="shared" si="0"/>
        <v>6</v>
      </c>
      <c r="E46" s="16">
        <f t="shared" si="1"/>
        <v>46</v>
      </c>
      <c r="F46" s="19" t="s">
        <v>16</v>
      </c>
      <c r="G46" s="19" t="s">
        <v>45</v>
      </c>
      <c r="H46" s="16" t="str">
        <f>_xlfn.XLOOKUP(G46,'1-Players'!$A$2:$A$27,'1-Players'!$D$2:$D$27,"")</f>
        <v>Gyorgy Golomán</v>
      </c>
      <c r="I46" s="19" t="s">
        <v>111</v>
      </c>
      <c r="J46" s="19"/>
      <c r="K46" s="16" t="str" cm="1">
        <f t="array" ref="K46">IFERROR(_xlfn.IFS(I46="Free Throw",1,I46="2-Point Shot",2,I46="Dunk",2,I46="3-Point Shot",3),"")</f>
        <v/>
      </c>
      <c r="L46" s="16" t="str" cm="1">
        <f t="array" ref="L46">IFERROR(_xlfn.IFS(J46="Made",1,J46="Missed",0),"")</f>
        <v/>
      </c>
      <c r="M46" s="16" t="str">
        <f t="shared" si="2"/>
        <v/>
      </c>
      <c r="N46" s="16" t="str">
        <f t="shared" si="3"/>
        <v/>
      </c>
      <c r="O46" s="16" t="str">
        <f t="shared" si="4"/>
        <v/>
      </c>
      <c r="P46" s="16">
        <f>SUM($N$2:N46)</f>
        <v>12</v>
      </c>
      <c r="Q46" s="16">
        <f>SUM($O$2:O46)</f>
        <v>7</v>
      </c>
      <c r="R46" s="52" t="str">
        <f t="shared" si="5"/>
        <v/>
      </c>
      <c r="S46" s="53" t="str">
        <f t="shared" si="6"/>
        <v/>
      </c>
    </row>
    <row r="47" spans="1:23" x14ac:dyDescent="0.35">
      <c r="A47" s="16">
        <v>1</v>
      </c>
      <c r="B47" s="19">
        <v>46</v>
      </c>
      <c r="C47" s="47">
        <v>4.6990740740740743E-3</v>
      </c>
      <c r="D47" s="16">
        <f t="shared" si="0"/>
        <v>6</v>
      </c>
      <c r="E47" s="16">
        <f t="shared" si="1"/>
        <v>46</v>
      </c>
      <c r="F47" s="19" t="s">
        <v>46</v>
      </c>
      <c r="G47" s="19" t="s">
        <v>73</v>
      </c>
      <c r="H47" s="16" t="str">
        <f>_xlfn.XLOOKUP(G47,'1-Players'!$A$2:$A$27,'1-Players'!$D$2:$D$27,"")</f>
        <v>Hugo Benítez</v>
      </c>
      <c r="I47" s="19" t="s">
        <v>85</v>
      </c>
      <c r="J47" s="19" t="s">
        <v>60</v>
      </c>
      <c r="K47" s="16" cm="1">
        <f t="array" ref="K47">IFERROR(_xlfn.IFS(I47="Free Throw",1,I47="2-Point Shot",2,I47="Dunk",2,I47="3-Point Shot",3),"")</f>
        <v>1</v>
      </c>
      <c r="L47" s="16" cm="1">
        <f t="array" ref="L47">IFERROR(_xlfn.IFS(J47="Made",1,J47="Missed",0),"")</f>
        <v>1</v>
      </c>
      <c r="M47" s="16">
        <f t="shared" si="2"/>
        <v>1</v>
      </c>
      <c r="N47" s="16">
        <f t="shared" si="3"/>
        <v>1</v>
      </c>
      <c r="O47" s="16" t="str">
        <f t="shared" si="4"/>
        <v/>
      </c>
      <c r="P47" s="16">
        <f>SUM($N$2:N47)</f>
        <v>13</v>
      </c>
      <c r="Q47" s="16">
        <f>SUM($O$2:O47)</f>
        <v>7</v>
      </c>
      <c r="R47" s="52" t="str">
        <f t="shared" si="5"/>
        <v>MAN 13 - 7 LLE</v>
      </c>
      <c r="S47" s="53">
        <f t="shared" si="6"/>
        <v>4.6990740740740743E-3</v>
      </c>
    </row>
    <row r="48" spans="1:23" x14ac:dyDescent="0.35">
      <c r="A48" s="16">
        <v>1</v>
      </c>
      <c r="B48" s="19">
        <v>47</v>
      </c>
      <c r="C48" s="47">
        <v>4.6990740740740743E-3</v>
      </c>
      <c r="D48" s="16">
        <f t="shared" si="0"/>
        <v>6</v>
      </c>
      <c r="E48" s="16">
        <f t="shared" si="1"/>
        <v>46</v>
      </c>
      <c r="F48" s="19" t="s">
        <v>46</v>
      </c>
      <c r="G48" s="19" t="s">
        <v>73</v>
      </c>
      <c r="H48" s="16" t="str">
        <f>_xlfn.XLOOKUP(G48,'1-Players'!$A$2:$A$27,'1-Players'!$D$2:$D$27,"")</f>
        <v>Hugo Benítez</v>
      </c>
      <c r="I48" s="19" t="s">
        <v>85</v>
      </c>
      <c r="J48" s="19" t="s">
        <v>60</v>
      </c>
      <c r="K48" s="16" cm="1">
        <f t="array" ref="K48">IFERROR(_xlfn.IFS(I48="Free Throw",1,I48="2-Point Shot",2,I48="Dunk",2,I48="3-Point Shot",3),"")</f>
        <v>1</v>
      </c>
      <c r="L48" s="16" cm="1">
        <f t="array" ref="L48">IFERROR(_xlfn.IFS(J48="Made",1,J48="Missed",0),"")</f>
        <v>1</v>
      </c>
      <c r="M48" s="16">
        <f t="shared" si="2"/>
        <v>1</v>
      </c>
      <c r="N48" s="16">
        <f t="shared" si="3"/>
        <v>1</v>
      </c>
      <c r="O48" s="16" t="str">
        <f t="shared" si="4"/>
        <v/>
      </c>
      <c r="P48" s="16">
        <f>SUM($N$2:N48)</f>
        <v>14</v>
      </c>
      <c r="Q48" s="16">
        <f>SUM($O$2:O48)</f>
        <v>7</v>
      </c>
      <c r="R48" s="52" t="str">
        <f t="shared" si="5"/>
        <v>MAN 14 - 7 LLE</v>
      </c>
      <c r="S48" s="53">
        <f t="shared" si="6"/>
        <v>4.6990740740740743E-3</v>
      </c>
    </row>
    <row r="49" spans="1:19" x14ac:dyDescent="0.35">
      <c r="A49" s="16">
        <v>1</v>
      </c>
      <c r="B49" s="19">
        <v>48</v>
      </c>
      <c r="C49" s="47">
        <v>4.6990740740740743E-3</v>
      </c>
      <c r="D49" s="16">
        <f t="shared" si="0"/>
        <v>6</v>
      </c>
      <c r="E49" s="16">
        <f t="shared" si="1"/>
        <v>46</v>
      </c>
      <c r="F49" s="19" t="s">
        <v>46</v>
      </c>
      <c r="G49" s="16" t="s">
        <v>11</v>
      </c>
      <c r="H49" s="16" t="str">
        <f>_xlfn.XLOOKUP(G49,'1-Players'!$A$2:$A$27,'1-Players'!$D$2:$D$27,"")</f>
        <v>Marcis Steinbergs</v>
      </c>
      <c r="I49" s="19" t="s">
        <v>110</v>
      </c>
      <c r="K49" s="16" t="str" cm="1">
        <f t="array" ref="K49">IFERROR(_xlfn.IFS(I49="Free Throw",1,I49="2-Point Shot",2,I49="Dunk",2,I49="3-Point Shot",3),"")</f>
        <v/>
      </c>
      <c r="L49" s="16" t="str" cm="1">
        <f t="array" ref="L49">IFERROR(_xlfn.IFS(J49="Made",1,J49="Missed",0),"")</f>
        <v/>
      </c>
      <c r="M49" s="16" t="str">
        <f t="shared" si="2"/>
        <v/>
      </c>
      <c r="N49" s="16" t="str">
        <f t="shared" si="3"/>
        <v/>
      </c>
      <c r="O49" s="16" t="str">
        <f t="shared" si="4"/>
        <v/>
      </c>
      <c r="P49" s="16">
        <f>SUM($N$2:N49)</f>
        <v>14</v>
      </c>
      <c r="Q49" s="16">
        <f>SUM($O$2:O49)</f>
        <v>7</v>
      </c>
      <c r="R49" s="52" t="str">
        <f t="shared" si="5"/>
        <v/>
      </c>
      <c r="S49" s="53" t="str">
        <f t="shared" si="6"/>
        <v/>
      </c>
    </row>
    <row r="50" spans="1:19" x14ac:dyDescent="0.35">
      <c r="A50" s="16">
        <v>1</v>
      </c>
      <c r="B50" s="19">
        <v>49</v>
      </c>
      <c r="C50" s="47">
        <v>4.6990740740740743E-3</v>
      </c>
      <c r="D50" s="16">
        <f t="shared" si="0"/>
        <v>6</v>
      </c>
      <c r="E50" s="16">
        <f t="shared" si="1"/>
        <v>46</v>
      </c>
      <c r="F50" s="19" t="s">
        <v>46</v>
      </c>
      <c r="G50" s="16" t="s">
        <v>70</v>
      </c>
      <c r="H50" s="16" t="str">
        <f>_xlfn.XLOOKUP(G50,'1-Players'!$A$2:$A$27,'1-Players'!$D$2:$D$27,"")</f>
        <v>Louis Olinde</v>
      </c>
      <c r="I50" s="19" t="s">
        <v>111</v>
      </c>
      <c r="K50" s="16" t="str" cm="1">
        <f t="array" ref="K50">IFERROR(_xlfn.IFS(I50="Free Throw",1,I50="2-Point Shot",2,I50="Dunk",2,I50="3-Point Shot",3),"")</f>
        <v/>
      </c>
      <c r="L50" s="16" t="str" cm="1">
        <f t="array" ref="L50">IFERROR(_xlfn.IFS(J50="Made",1,J50="Missed",0),"")</f>
        <v/>
      </c>
      <c r="M50" s="16" t="str">
        <f t="shared" si="2"/>
        <v/>
      </c>
      <c r="N50" s="16" t="str">
        <f t="shared" si="3"/>
        <v/>
      </c>
      <c r="O50" s="16" t="str">
        <f t="shared" si="4"/>
        <v/>
      </c>
      <c r="P50" s="16">
        <f>SUM($N$2:N50)</f>
        <v>14</v>
      </c>
      <c r="Q50" s="16">
        <f>SUM($O$2:O50)</f>
        <v>7</v>
      </c>
      <c r="R50" s="52" t="str">
        <f t="shared" si="5"/>
        <v/>
      </c>
      <c r="S50" s="53" t="str">
        <f t="shared" si="6"/>
        <v/>
      </c>
    </row>
    <row r="51" spans="1:19" x14ac:dyDescent="0.35">
      <c r="A51" s="19">
        <v>1</v>
      </c>
      <c r="B51" s="19">
        <v>50</v>
      </c>
      <c r="C51" s="47">
        <v>4.5601851851851853E-3</v>
      </c>
      <c r="D51" s="16">
        <f t="shared" si="0"/>
        <v>6</v>
      </c>
      <c r="E51" s="16">
        <f t="shared" si="1"/>
        <v>34</v>
      </c>
      <c r="F51" s="19" t="s">
        <v>16</v>
      </c>
      <c r="G51" s="16" t="s">
        <v>20</v>
      </c>
      <c r="H51" s="16" t="str">
        <f>_xlfn.XLOOKUP(G51,'1-Players'!$A$2:$A$27,'1-Players'!$D$2:$D$27,"")</f>
        <v>Caleb Agada</v>
      </c>
      <c r="I51" s="19" t="s">
        <v>82</v>
      </c>
      <c r="J51" s="19" t="s">
        <v>60</v>
      </c>
      <c r="K51" s="16" cm="1">
        <f t="array" ref="K51">IFERROR(_xlfn.IFS(I51="Free Throw",1,I51="2-Point Shot",2,I51="Dunk",2,I51="3-Point Shot",3),"")</f>
        <v>2</v>
      </c>
      <c r="L51" s="16" cm="1">
        <f t="array" ref="L51">IFERROR(_xlfn.IFS(J51="Made",1,J51="Missed",0),"")</f>
        <v>1</v>
      </c>
      <c r="M51" s="16">
        <f t="shared" si="2"/>
        <v>2</v>
      </c>
      <c r="N51" s="16" t="str">
        <f t="shared" si="3"/>
        <v/>
      </c>
      <c r="O51" s="16">
        <f t="shared" si="4"/>
        <v>2</v>
      </c>
      <c r="P51" s="16">
        <f>SUM($N$2:N51)</f>
        <v>14</v>
      </c>
      <c r="Q51" s="16">
        <f>SUM($O$2:O51)</f>
        <v>9</v>
      </c>
      <c r="R51" s="52" t="str">
        <f t="shared" si="5"/>
        <v>MAN 14 - 9 LLE</v>
      </c>
      <c r="S51" s="53">
        <f t="shared" si="6"/>
        <v>4.5601851851851853E-3</v>
      </c>
    </row>
    <row r="52" spans="1:19" x14ac:dyDescent="0.35">
      <c r="A52" s="16">
        <v>1</v>
      </c>
      <c r="B52" s="19">
        <v>51</v>
      </c>
      <c r="C52" s="47">
        <v>4.3981481481481484E-3</v>
      </c>
      <c r="D52" s="16">
        <f t="shared" si="0"/>
        <v>6</v>
      </c>
      <c r="E52" s="16">
        <f t="shared" si="1"/>
        <v>20</v>
      </c>
      <c r="F52" s="19" t="s">
        <v>99</v>
      </c>
      <c r="G52" s="16" t="s">
        <v>35</v>
      </c>
      <c r="H52" s="16" t="str">
        <f>_xlfn.XLOOKUP(G52,'1-Players'!$A$2:$A$27,'1-Players'!$D$2:$D$27,"")</f>
        <v>Grant Golden</v>
      </c>
      <c r="I52" s="19" t="s">
        <v>82</v>
      </c>
      <c r="J52" s="19" t="s">
        <v>63</v>
      </c>
      <c r="K52" s="16" cm="1">
        <f t="array" ref="K52">IFERROR(_xlfn.IFS(I52="Free Throw",1,I52="2-Point Shot",2,I52="Dunk",2,I52="3-Point Shot",3),"")</f>
        <v>2</v>
      </c>
      <c r="L52" s="16" cm="1">
        <f t="array" ref="L52">IFERROR(_xlfn.IFS(J52="Made",1,J52="Missed",0),"")</f>
        <v>0</v>
      </c>
      <c r="M52" s="16">
        <f t="shared" si="2"/>
        <v>0</v>
      </c>
      <c r="N52" s="16" t="str">
        <f t="shared" si="3"/>
        <v/>
      </c>
      <c r="O52" s="16" t="str">
        <f t="shared" si="4"/>
        <v/>
      </c>
      <c r="P52" s="16">
        <f>SUM($N$2:N52)</f>
        <v>14</v>
      </c>
      <c r="Q52" s="16">
        <f>SUM($O$2:O52)</f>
        <v>9</v>
      </c>
      <c r="R52" s="52" t="str">
        <f t="shared" si="5"/>
        <v/>
      </c>
      <c r="S52" s="53" t="str">
        <f t="shared" si="6"/>
        <v/>
      </c>
    </row>
    <row r="53" spans="1:19" x14ac:dyDescent="0.35">
      <c r="A53" s="19">
        <v>1</v>
      </c>
      <c r="B53" s="19">
        <v>52</v>
      </c>
      <c r="C53" s="47">
        <v>4.3981481481481484E-3</v>
      </c>
      <c r="D53" s="16">
        <f t="shared" si="0"/>
        <v>6</v>
      </c>
      <c r="E53" s="16">
        <f t="shared" si="1"/>
        <v>20</v>
      </c>
      <c r="F53" s="19" t="s">
        <v>99</v>
      </c>
      <c r="G53" s="16" t="s">
        <v>70</v>
      </c>
      <c r="H53" s="16" t="str">
        <f>_xlfn.XLOOKUP(G53,'1-Players'!$A$2:$A$27,'1-Players'!$D$2:$D$27,"")</f>
        <v>Louis Olinde</v>
      </c>
      <c r="I53" s="19" t="s">
        <v>109</v>
      </c>
      <c r="J53" s="19"/>
      <c r="K53" s="16" t="str" cm="1">
        <f t="array" ref="K53">IFERROR(_xlfn.IFS(I53="Free Throw",1,I53="2-Point Shot",2,I53="Dunk",2,I53="3-Point Shot",3),"")</f>
        <v/>
      </c>
      <c r="L53" s="16" t="str" cm="1">
        <f t="array" ref="L53">IFERROR(_xlfn.IFS(J53="Made",1,J53="Missed",0),"")</f>
        <v/>
      </c>
      <c r="M53" s="16" t="str">
        <f t="shared" si="2"/>
        <v/>
      </c>
      <c r="N53" s="16" t="str">
        <f t="shared" si="3"/>
        <v/>
      </c>
      <c r="O53" s="16" t="str">
        <f t="shared" si="4"/>
        <v/>
      </c>
      <c r="P53" s="16">
        <f>SUM($N$2:N53)</f>
        <v>14</v>
      </c>
      <c r="Q53" s="16">
        <f>SUM($O$2:O53)</f>
        <v>9</v>
      </c>
      <c r="R53" s="52" t="str">
        <f t="shared" si="5"/>
        <v/>
      </c>
      <c r="S53" s="53" t="str">
        <f t="shared" si="6"/>
        <v/>
      </c>
    </row>
    <row r="54" spans="1:19" x14ac:dyDescent="0.35">
      <c r="A54" s="16">
        <v>1</v>
      </c>
      <c r="B54" s="19">
        <v>53</v>
      </c>
      <c r="C54" s="47">
        <v>4.31712962962963E-3</v>
      </c>
      <c r="D54" s="16">
        <f t="shared" si="0"/>
        <v>6</v>
      </c>
      <c r="E54" s="16">
        <f t="shared" si="1"/>
        <v>13</v>
      </c>
      <c r="F54" s="19" t="s">
        <v>99</v>
      </c>
      <c r="G54" s="16" t="s">
        <v>73</v>
      </c>
      <c r="H54" s="16" t="str">
        <f>_xlfn.XLOOKUP(G54,'1-Players'!$A$2:$A$27,'1-Players'!$D$2:$D$27,"")</f>
        <v>Hugo Benítez</v>
      </c>
      <c r="I54" s="19" t="s">
        <v>83</v>
      </c>
      <c r="J54" s="19" t="s">
        <v>63</v>
      </c>
      <c r="K54" s="16" cm="1">
        <f t="array" ref="K54">IFERROR(_xlfn.IFS(I54="Free Throw",1,I54="2-Point Shot",2,I54="Dunk",2,I54="3-Point Shot",3),"")</f>
        <v>3</v>
      </c>
      <c r="L54" s="16" cm="1">
        <f t="array" ref="L54">IFERROR(_xlfn.IFS(J54="Made",1,J54="Missed",0),"")</f>
        <v>0</v>
      </c>
      <c r="M54" s="16">
        <f t="shared" si="2"/>
        <v>0</v>
      </c>
      <c r="N54" s="16" t="str">
        <f t="shared" si="3"/>
        <v/>
      </c>
      <c r="O54" s="16" t="str">
        <f t="shared" si="4"/>
        <v/>
      </c>
      <c r="P54" s="16">
        <f>SUM($N$2:N54)</f>
        <v>14</v>
      </c>
      <c r="Q54" s="16">
        <f>SUM($O$2:O54)</f>
        <v>9</v>
      </c>
      <c r="R54" s="52" t="str">
        <f t="shared" si="5"/>
        <v/>
      </c>
      <c r="S54" s="53" t="str">
        <f t="shared" si="6"/>
        <v/>
      </c>
    </row>
    <row r="55" spans="1:19" x14ac:dyDescent="0.35">
      <c r="A55" s="16">
        <v>1</v>
      </c>
      <c r="B55" s="19">
        <v>54</v>
      </c>
      <c r="C55" s="47">
        <v>4.31712962962963E-3</v>
      </c>
      <c r="D55" s="16">
        <f t="shared" si="0"/>
        <v>6</v>
      </c>
      <c r="E55" s="16">
        <f t="shared" si="1"/>
        <v>13</v>
      </c>
      <c r="F55" s="19" t="s">
        <v>16</v>
      </c>
      <c r="G55" s="16" t="s">
        <v>20</v>
      </c>
      <c r="H55" s="16" t="str">
        <f>_xlfn.XLOOKUP(G55,'1-Players'!$A$2:$A$27,'1-Players'!$D$2:$D$27,"")</f>
        <v>Caleb Agada</v>
      </c>
      <c r="I55" s="19" t="s">
        <v>84</v>
      </c>
      <c r="J55" s="19"/>
      <c r="K55" s="16" t="str" cm="1">
        <f t="array" ref="K55">IFERROR(_xlfn.IFS(I55="Free Throw",1,I55="2-Point Shot",2,I55="Dunk",2,I55="3-Point Shot",3),"")</f>
        <v/>
      </c>
      <c r="L55" s="16" t="str" cm="1">
        <f t="array" ref="L55">IFERROR(_xlfn.IFS(J55="Made",1,J55="Missed",0),"")</f>
        <v/>
      </c>
      <c r="M55" s="16" t="str">
        <f t="shared" si="2"/>
        <v/>
      </c>
      <c r="N55" s="16" t="str">
        <f t="shared" si="3"/>
        <v/>
      </c>
      <c r="O55" s="16" t="str">
        <f t="shared" si="4"/>
        <v/>
      </c>
      <c r="P55" s="16">
        <f>SUM($N$2:N55)</f>
        <v>14</v>
      </c>
      <c r="Q55" s="16">
        <f>SUM($O$2:O55)</f>
        <v>9</v>
      </c>
      <c r="R55" s="52" t="str">
        <f t="shared" si="5"/>
        <v/>
      </c>
      <c r="S55" s="53" t="str">
        <f t="shared" si="6"/>
        <v/>
      </c>
    </row>
    <row r="56" spans="1:19" x14ac:dyDescent="0.35">
      <c r="A56" s="19">
        <v>1</v>
      </c>
      <c r="B56" s="19">
        <v>55</v>
      </c>
      <c r="C56" s="47">
        <v>4.3055555555555555E-3</v>
      </c>
      <c r="D56" s="16">
        <f t="shared" si="0"/>
        <v>6</v>
      </c>
      <c r="E56" s="16">
        <f t="shared" si="1"/>
        <v>12</v>
      </c>
      <c r="F56" s="19" t="s">
        <v>46</v>
      </c>
      <c r="G56" s="16" t="s">
        <v>73</v>
      </c>
      <c r="H56" s="16" t="str">
        <f>_xlfn.XLOOKUP(G56,'1-Players'!$A$2:$A$27,'1-Players'!$D$2:$D$27,"")</f>
        <v>Hugo Benítez</v>
      </c>
      <c r="I56" s="19" t="s">
        <v>106</v>
      </c>
      <c r="J56" s="19" t="s">
        <v>107</v>
      </c>
      <c r="K56" s="16" t="str" cm="1">
        <f t="array" ref="K56">IFERROR(_xlfn.IFS(I56="Free Throw",1,I56="2-Point Shot",2,I56="Dunk",2,I56="3-Point Shot",3),"")</f>
        <v/>
      </c>
      <c r="L56" s="16" t="str" cm="1">
        <f t="array" ref="L56">IFERROR(_xlfn.IFS(J56="Made",1,J56="Missed",0),"")</f>
        <v/>
      </c>
      <c r="M56" s="16" t="str">
        <f t="shared" si="2"/>
        <v/>
      </c>
      <c r="N56" s="16" t="str">
        <f t="shared" si="3"/>
        <v/>
      </c>
      <c r="O56" s="16" t="str">
        <f t="shared" si="4"/>
        <v/>
      </c>
      <c r="P56" s="16">
        <f>SUM($N$2:N56)</f>
        <v>14</v>
      </c>
      <c r="Q56" s="16">
        <f>SUM($O$2:O56)</f>
        <v>9</v>
      </c>
      <c r="R56" s="52" t="str">
        <f t="shared" si="5"/>
        <v/>
      </c>
      <c r="S56" s="53" t="str">
        <f t="shared" si="6"/>
        <v/>
      </c>
    </row>
    <row r="57" spans="1:19" x14ac:dyDescent="0.35">
      <c r="A57" s="16">
        <v>1</v>
      </c>
      <c r="B57" s="19">
        <v>56</v>
      </c>
      <c r="C57" s="47">
        <v>4.3055555555555555E-3</v>
      </c>
      <c r="D57" s="16">
        <f t="shared" si="0"/>
        <v>6</v>
      </c>
      <c r="E57" s="16">
        <f t="shared" si="1"/>
        <v>12</v>
      </c>
      <c r="F57" s="19" t="s">
        <v>16</v>
      </c>
      <c r="G57" s="16" t="s">
        <v>20</v>
      </c>
      <c r="H57" s="16" t="str">
        <f>_xlfn.XLOOKUP(G57,'1-Players'!$A$2:$A$27,'1-Players'!$D$2:$D$27,"")</f>
        <v>Caleb Agada</v>
      </c>
      <c r="I57" s="19" t="s">
        <v>108</v>
      </c>
      <c r="J57" s="19"/>
      <c r="K57" s="16" t="str" cm="1">
        <f t="array" ref="K57">IFERROR(_xlfn.IFS(I57="Free Throw",1,I57="2-Point Shot",2,I57="Dunk",2,I57="3-Point Shot",3),"")</f>
        <v/>
      </c>
      <c r="L57" s="16" t="str" cm="1">
        <f t="array" ref="L57">IFERROR(_xlfn.IFS(J57="Made",1,J57="Missed",0),"")</f>
        <v/>
      </c>
      <c r="M57" s="16" t="str">
        <f t="shared" si="2"/>
        <v/>
      </c>
      <c r="N57" s="16" t="str">
        <f t="shared" si="3"/>
        <v/>
      </c>
      <c r="O57" s="16" t="str">
        <f t="shared" si="4"/>
        <v/>
      </c>
      <c r="P57" s="16">
        <f>SUM($N$2:N57)</f>
        <v>14</v>
      </c>
      <c r="Q57" s="16">
        <f>SUM($O$2:O57)</f>
        <v>9</v>
      </c>
      <c r="R57" s="52" t="str">
        <f t="shared" si="5"/>
        <v/>
      </c>
      <c r="S57" s="53" t="str">
        <f t="shared" si="6"/>
        <v/>
      </c>
    </row>
    <row r="58" spans="1:19" x14ac:dyDescent="0.35">
      <c r="A58" s="16">
        <v>1</v>
      </c>
      <c r="B58" s="19">
        <v>57</v>
      </c>
      <c r="C58" s="47">
        <v>4.3055555555555555E-3</v>
      </c>
      <c r="D58" s="16">
        <f t="shared" si="0"/>
        <v>6</v>
      </c>
      <c r="E58" s="16">
        <f t="shared" si="1"/>
        <v>12</v>
      </c>
      <c r="F58" s="19" t="s">
        <v>46</v>
      </c>
      <c r="G58" s="16" t="s">
        <v>73</v>
      </c>
      <c r="H58" s="16" t="str">
        <f>_xlfn.XLOOKUP(G58,'1-Players'!$A$2:$A$27,'1-Players'!$D$2:$D$27,"")</f>
        <v>Hugo Benítez</v>
      </c>
      <c r="I58" s="19" t="s">
        <v>110</v>
      </c>
      <c r="K58" s="16" t="str" cm="1">
        <f t="array" ref="K58">IFERROR(_xlfn.IFS(I58="Free Throw",1,I58="2-Point Shot",2,I58="Dunk",2,I58="3-Point Shot",3),"")</f>
        <v/>
      </c>
      <c r="L58" s="16" t="str" cm="1">
        <f t="array" ref="L58">IFERROR(_xlfn.IFS(J58="Made",1,J58="Missed",0),"")</f>
        <v/>
      </c>
      <c r="M58" s="16" t="str">
        <f t="shared" si="2"/>
        <v/>
      </c>
      <c r="N58" s="16" t="str">
        <f t="shared" si="3"/>
        <v/>
      </c>
      <c r="O58" s="16" t="str">
        <f t="shared" si="4"/>
        <v/>
      </c>
      <c r="P58" s="16">
        <f>SUM($N$2:N58)</f>
        <v>14</v>
      </c>
      <c r="Q58" s="16">
        <f>SUM($O$2:O58)</f>
        <v>9</v>
      </c>
      <c r="R58" s="52" t="str">
        <f t="shared" si="5"/>
        <v/>
      </c>
      <c r="S58" s="53" t="str">
        <f t="shared" si="6"/>
        <v/>
      </c>
    </row>
    <row r="59" spans="1:19" x14ac:dyDescent="0.35">
      <c r="A59" s="16">
        <v>1</v>
      </c>
      <c r="B59" s="19">
        <v>58</v>
      </c>
      <c r="C59" s="47">
        <v>4.3055555555555555E-3</v>
      </c>
      <c r="D59" s="16">
        <f t="shared" si="0"/>
        <v>6</v>
      </c>
      <c r="E59" s="16">
        <f t="shared" si="1"/>
        <v>12</v>
      </c>
      <c r="F59" s="19" t="s">
        <v>46</v>
      </c>
      <c r="G59" s="16" t="s">
        <v>68</v>
      </c>
      <c r="H59" s="16" t="str">
        <f>_xlfn.XLOOKUP(G59,'1-Players'!$A$2:$A$27,'1-Players'!$D$2:$D$27,"")</f>
        <v>Dani Pérez</v>
      </c>
      <c r="I59" s="19" t="s">
        <v>111</v>
      </c>
      <c r="K59" s="16" t="str" cm="1">
        <f t="array" ref="K59">IFERROR(_xlfn.IFS(I59="Free Throw",1,I59="2-Point Shot",2,I59="Dunk",2,I59="3-Point Shot",3),"")</f>
        <v/>
      </c>
      <c r="L59" s="16" t="str" cm="1">
        <f t="array" ref="L59">IFERROR(_xlfn.IFS(J59="Made",1,J59="Missed",0),"")</f>
        <v/>
      </c>
      <c r="M59" s="16" t="str">
        <f t="shared" si="2"/>
        <v/>
      </c>
      <c r="N59" s="16" t="str">
        <f t="shared" si="3"/>
        <v/>
      </c>
      <c r="O59" s="16" t="str">
        <f t="shared" si="4"/>
        <v/>
      </c>
      <c r="P59" s="16">
        <f>SUM($N$2:N59)</f>
        <v>14</v>
      </c>
      <c r="Q59" s="16">
        <f>SUM($O$2:O59)</f>
        <v>9</v>
      </c>
      <c r="R59" s="52" t="str">
        <f t="shared" si="5"/>
        <v/>
      </c>
      <c r="S59" s="53" t="str">
        <f t="shared" si="6"/>
        <v/>
      </c>
    </row>
    <row r="60" spans="1:19" x14ac:dyDescent="0.35">
      <c r="A60" s="16">
        <v>1</v>
      </c>
      <c r="B60" s="19">
        <v>59</v>
      </c>
      <c r="C60" s="47">
        <v>4.0740740740740737E-3</v>
      </c>
      <c r="D60" s="16">
        <f t="shared" si="0"/>
        <v>5</v>
      </c>
      <c r="E60" s="16">
        <f t="shared" si="1"/>
        <v>52</v>
      </c>
      <c r="F60" s="19" t="s">
        <v>16</v>
      </c>
      <c r="G60" s="16" t="s">
        <v>38</v>
      </c>
      <c r="H60" s="16" t="str">
        <f>_xlfn.XLOOKUP(G60,'1-Players'!$A$2:$A$27,'1-Players'!$D$2:$D$27,"")</f>
        <v>Mikel Sanz</v>
      </c>
      <c r="I60" s="19" t="s">
        <v>112</v>
      </c>
      <c r="J60" s="19" t="s">
        <v>113</v>
      </c>
      <c r="K60" s="16" t="str" cm="1">
        <f t="array" ref="K60">IFERROR(_xlfn.IFS(I60="Free Throw",1,I60="2-Point Shot",2,I60="Dunk",2,I60="3-Point Shot",3),"")</f>
        <v/>
      </c>
      <c r="L60" s="16" t="str" cm="1">
        <f t="array" ref="L60">IFERROR(_xlfn.IFS(J60="Made",1,J60="Missed",0),"")</f>
        <v/>
      </c>
      <c r="M60" s="16" t="str">
        <f t="shared" si="2"/>
        <v/>
      </c>
      <c r="N60" s="16" t="str">
        <f t="shared" si="3"/>
        <v/>
      </c>
      <c r="O60" s="16" t="str">
        <f t="shared" si="4"/>
        <v/>
      </c>
      <c r="P60" s="16">
        <f>SUM($N$2:N60)</f>
        <v>14</v>
      </c>
      <c r="Q60" s="16">
        <f>SUM($O$2:O60)</f>
        <v>9</v>
      </c>
      <c r="R60" s="52" t="str">
        <f t="shared" si="5"/>
        <v/>
      </c>
      <c r="S60" s="53" t="str">
        <f t="shared" si="6"/>
        <v/>
      </c>
    </row>
    <row r="61" spans="1:19" x14ac:dyDescent="0.35">
      <c r="A61" s="19">
        <v>1</v>
      </c>
      <c r="B61" s="19">
        <v>60</v>
      </c>
      <c r="C61" s="47">
        <v>3.9930555555555552E-3</v>
      </c>
      <c r="D61" s="16">
        <f t="shared" si="0"/>
        <v>5</v>
      </c>
      <c r="E61" s="16">
        <f t="shared" si="1"/>
        <v>45</v>
      </c>
      <c r="F61" s="19" t="s">
        <v>16</v>
      </c>
      <c r="G61" s="16" t="s">
        <v>74</v>
      </c>
      <c r="H61" s="16" t="str">
        <f>_xlfn.XLOOKUP(G61,'1-Players'!$A$2:$A$27,'1-Players'!$D$2:$D$27,"")</f>
        <v>Melvin Ejim</v>
      </c>
      <c r="I61" s="19" t="s">
        <v>106</v>
      </c>
      <c r="J61" s="19" t="s">
        <v>107</v>
      </c>
      <c r="K61" s="16" t="str" cm="1">
        <f t="array" ref="K61">IFERROR(_xlfn.IFS(I61="Free Throw",1,I61="2-Point Shot",2,I61="Dunk",2,I61="3-Point Shot",3),"")</f>
        <v/>
      </c>
      <c r="L61" s="16" t="str" cm="1">
        <f t="array" ref="L61">IFERROR(_xlfn.IFS(J61="Made",1,J61="Missed",0),"")</f>
        <v/>
      </c>
      <c r="M61" s="16" t="str">
        <f t="shared" si="2"/>
        <v/>
      </c>
      <c r="N61" s="16" t="str">
        <f t="shared" si="3"/>
        <v/>
      </c>
      <c r="O61" s="16" t="str">
        <f t="shared" si="4"/>
        <v/>
      </c>
      <c r="P61" s="16">
        <f>SUM($N$2:N61)</f>
        <v>14</v>
      </c>
      <c r="Q61" s="16">
        <f>SUM($O$2:O61)</f>
        <v>9</v>
      </c>
      <c r="R61" s="52" t="str">
        <f t="shared" si="5"/>
        <v/>
      </c>
      <c r="S61" s="53" t="str">
        <f t="shared" si="6"/>
        <v/>
      </c>
    </row>
    <row r="62" spans="1:19" x14ac:dyDescent="0.35">
      <c r="A62" s="16">
        <v>1</v>
      </c>
      <c r="B62" s="19">
        <v>61</v>
      </c>
      <c r="C62" s="47">
        <v>3.9930555555555552E-3</v>
      </c>
      <c r="D62" s="16">
        <f t="shared" si="0"/>
        <v>5</v>
      </c>
      <c r="E62" s="16">
        <f t="shared" si="1"/>
        <v>45</v>
      </c>
      <c r="F62" s="19" t="s">
        <v>46</v>
      </c>
      <c r="G62" s="16" t="s">
        <v>70</v>
      </c>
      <c r="H62" s="16" t="str">
        <f>_xlfn.XLOOKUP(G62,'1-Players'!$A$2:$A$27,'1-Players'!$D$2:$D$27,"")</f>
        <v>Louis Olinde</v>
      </c>
      <c r="I62" s="19" t="s">
        <v>108</v>
      </c>
      <c r="J62" s="19"/>
      <c r="K62" s="16" t="str" cm="1">
        <f t="array" ref="K62">IFERROR(_xlfn.IFS(I62="Free Throw",1,I62="2-Point Shot",2,I62="Dunk",2,I62="3-Point Shot",3),"")</f>
        <v/>
      </c>
      <c r="L62" s="16" t="str" cm="1">
        <f t="array" ref="L62">IFERROR(_xlfn.IFS(J62="Made",1,J62="Missed",0),"")</f>
        <v/>
      </c>
      <c r="M62" s="16" t="str">
        <f t="shared" si="2"/>
        <v/>
      </c>
      <c r="N62" s="16" t="str">
        <f t="shared" si="3"/>
        <v/>
      </c>
      <c r="O62" s="16" t="str">
        <f t="shared" si="4"/>
        <v/>
      </c>
      <c r="P62" s="16">
        <f>SUM($N$2:N62)</f>
        <v>14</v>
      </c>
      <c r="Q62" s="16">
        <f>SUM($O$2:O62)</f>
        <v>9</v>
      </c>
      <c r="R62" s="52" t="str">
        <f t="shared" si="5"/>
        <v/>
      </c>
      <c r="S62" s="53" t="str">
        <f t="shared" si="6"/>
        <v/>
      </c>
    </row>
    <row r="63" spans="1:19" x14ac:dyDescent="0.35">
      <c r="A63" s="16">
        <v>1</v>
      </c>
      <c r="B63" s="19">
        <v>62</v>
      </c>
      <c r="C63" s="47">
        <v>3.9930555555555552E-3</v>
      </c>
      <c r="D63" s="16">
        <f t="shared" si="0"/>
        <v>5</v>
      </c>
      <c r="E63" s="16">
        <f t="shared" si="1"/>
        <v>45</v>
      </c>
      <c r="F63" s="19" t="s">
        <v>46</v>
      </c>
      <c r="G63" s="16" t="s">
        <v>35</v>
      </c>
      <c r="H63" s="16" t="str">
        <f>_xlfn.XLOOKUP(G63,'1-Players'!$A$2:$A$27,'1-Players'!$D$2:$D$27,"")</f>
        <v>Grant Golden</v>
      </c>
      <c r="I63" s="19" t="s">
        <v>110</v>
      </c>
      <c r="K63" s="16" t="str" cm="1">
        <f t="array" ref="K63">IFERROR(_xlfn.IFS(I63="Free Throw",1,I63="2-Point Shot",2,I63="Dunk",2,I63="3-Point Shot",3),"")</f>
        <v/>
      </c>
      <c r="L63" s="16" t="str" cm="1">
        <f t="array" ref="L63">IFERROR(_xlfn.IFS(J63="Made",1,J63="Missed",0),"")</f>
        <v/>
      </c>
      <c r="M63" s="16" t="str">
        <f t="shared" si="2"/>
        <v/>
      </c>
      <c r="N63" s="16" t="str">
        <f t="shared" si="3"/>
        <v/>
      </c>
      <c r="O63" s="16" t="str">
        <f t="shared" si="4"/>
        <v/>
      </c>
      <c r="P63" s="16">
        <f>SUM($N$2:N63)</f>
        <v>14</v>
      </c>
      <c r="Q63" s="16">
        <f>SUM($O$2:O63)</f>
        <v>9</v>
      </c>
      <c r="R63" s="52" t="str">
        <f t="shared" si="5"/>
        <v/>
      </c>
      <c r="S63" s="53" t="str">
        <f t="shared" si="6"/>
        <v/>
      </c>
    </row>
    <row r="64" spans="1:19" x14ac:dyDescent="0.35">
      <c r="A64" s="16">
        <v>1</v>
      </c>
      <c r="B64" s="19">
        <v>63</v>
      </c>
      <c r="C64" s="47">
        <v>3.9930555555555552E-3</v>
      </c>
      <c r="D64" s="16">
        <f t="shared" si="0"/>
        <v>5</v>
      </c>
      <c r="E64" s="16">
        <f t="shared" si="1"/>
        <v>45</v>
      </c>
      <c r="F64" s="19" t="s">
        <v>46</v>
      </c>
      <c r="G64" s="16" t="s">
        <v>27</v>
      </c>
      <c r="H64" s="16" t="str">
        <f>_xlfn.XLOOKUP(G64,'1-Players'!$A$2:$A$27,'1-Players'!$D$2:$D$27,"")</f>
        <v>Kaodirichi Akobundu</v>
      </c>
      <c r="I64" s="19" t="s">
        <v>111</v>
      </c>
      <c r="K64" s="16" t="str" cm="1">
        <f t="array" ref="K64">IFERROR(_xlfn.IFS(I64="Free Throw",1,I64="2-Point Shot",2,I64="Dunk",2,I64="3-Point Shot",3),"")</f>
        <v/>
      </c>
      <c r="L64" s="16" t="str" cm="1">
        <f t="array" ref="L64">IFERROR(_xlfn.IFS(J64="Made",1,J64="Missed",0),"")</f>
        <v/>
      </c>
      <c r="M64" s="16" t="str">
        <f t="shared" si="2"/>
        <v/>
      </c>
      <c r="N64" s="16" t="str">
        <f t="shared" si="3"/>
        <v/>
      </c>
      <c r="O64" s="16" t="str">
        <f t="shared" si="4"/>
        <v/>
      </c>
      <c r="P64" s="16">
        <f>SUM($N$2:N64)</f>
        <v>14</v>
      </c>
      <c r="Q64" s="16">
        <f>SUM($O$2:O64)</f>
        <v>9</v>
      </c>
      <c r="R64" s="52" t="str">
        <f t="shared" si="5"/>
        <v/>
      </c>
      <c r="S64" s="53" t="str">
        <f t="shared" si="6"/>
        <v/>
      </c>
    </row>
    <row r="65" spans="1:19" x14ac:dyDescent="0.35">
      <c r="A65" s="16">
        <v>1</v>
      </c>
      <c r="B65" s="19">
        <v>64</v>
      </c>
      <c r="C65" s="47">
        <v>3.9930555555555552E-3</v>
      </c>
      <c r="D65" s="16">
        <f t="shared" si="0"/>
        <v>5</v>
      </c>
      <c r="E65" s="16">
        <f t="shared" si="1"/>
        <v>45</v>
      </c>
      <c r="F65" s="19" t="s">
        <v>16</v>
      </c>
      <c r="G65" s="16" t="s">
        <v>74</v>
      </c>
      <c r="H65" s="16" t="str">
        <f>_xlfn.XLOOKUP(G65,'1-Players'!$A$2:$A$27,'1-Players'!$D$2:$D$27,"")</f>
        <v>Melvin Ejim</v>
      </c>
      <c r="I65" s="19" t="s">
        <v>110</v>
      </c>
      <c r="K65" s="16" t="str" cm="1">
        <f t="array" ref="K65">IFERROR(_xlfn.IFS(I65="Free Throw",1,I65="2-Point Shot",2,I65="Dunk",2,I65="3-Point Shot",3),"")</f>
        <v/>
      </c>
      <c r="L65" s="16" t="str" cm="1">
        <f t="array" ref="L65">IFERROR(_xlfn.IFS(J65="Made",1,J65="Missed",0),"")</f>
        <v/>
      </c>
      <c r="M65" s="16" t="str">
        <f t="shared" si="2"/>
        <v/>
      </c>
      <c r="N65" s="16" t="str">
        <f t="shared" si="3"/>
        <v/>
      </c>
      <c r="O65" s="16" t="str">
        <f t="shared" si="4"/>
        <v/>
      </c>
      <c r="P65" s="16">
        <f>SUM($N$2:N65)</f>
        <v>14</v>
      </c>
      <c r="Q65" s="16">
        <f>SUM($O$2:O65)</f>
        <v>9</v>
      </c>
      <c r="R65" s="52" t="str">
        <f t="shared" si="5"/>
        <v/>
      </c>
      <c r="S65" s="53" t="str">
        <f t="shared" si="6"/>
        <v/>
      </c>
    </row>
    <row r="66" spans="1:19" x14ac:dyDescent="0.35">
      <c r="A66" s="16">
        <v>1</v>
      </c>
      <c r="B66" s="19">
        <v>65</v>
      </c>
      <c r="C66" s="47">
        <v>3.9930555555555552E-3</v>
      </c>
      <c r="D66" s="16">
        <f t="shared" si="0"/>
        <v>5</v>
      </c>
      <c r="E66" s="16">
        <f t="shared" si="1"/>
        <v>45</v>
      </c>
      <c r="F66" s="19" t="s">
        <v>16</v>
      </c>
      <c r="G66" s="16" t="s">
        <v>20</v>
      </c>
      <c r="H66" s="16" t="str">
        <f>_xlfn.XLOOKUP(G66,'1-Players'!$A$2:$A$27,'1-Players'!$D$2:$D$27,"")</f>
        <v>Caleb Agada</v>
      </c>
      <c r="I66" s="19" t="s">
        <v>110</v>
      </c>
      <c r="K66" s="16" t="str" cm="1">
        <f t="array" ref="K66">IFERROR(_xlfn.IFS(I66="Free Throw",1,I66="2-Point Shot",2,I66="Dunk",2,I66="3-Point Shot",3),"")</f>
        <v/>
      </c>
      <c r="L66" s="16" t="str" cm="1">
        <f t="array" ref="L66">IFERROR(_xlfn.IFS(J66="Made",1,J66="Missed",0),"")</f>
        <v/>
      </c>
      <c r="M66" s="16" t="str">
        <f t="shared" si="2"/>
        <v/>
      </c>
      <c r="N66" s="16" t="str">
        <f t="shared" si="3"/>
        <v/>
      </c>
      <c r="O66" s="16" t="str">
        <f t="shared" si="4"/>
        <v/>
      </c>
      <c r="P66" s="16">
        <f>SUM($N$2:N66)</f>
        <v>14</v>
      </c>
      <c r="Q66" s="16">
        <f>SUM($O$2:O66)</f>
        <v>9</v>
      </c>
      <c r="R66" s="52" t="str">
        <f t="shared" si="5"/>
        <v/>
      </c>
      <c r="S66" s="53" t="str">
        <f t="shared" si="6"/>
        <v/>
      </c>
    </row>
    <row r="67" spans="1:19" x14ac:dyDescent="0.35">
      <c r="A67" s="16">
        <v>1</v>
      </c>
      <c r="B67" s="19">
        <v>66</v>
      </c>
      <c r="C67" s="47">
        <v>3.9930555555555552E-3</v>
      </c>
      <c r="D67" s="16">
        <f t="shared" ref="D67:D109" si="7">MINUTE(C67)</f>
        <v>5</v>
      </c>
      <c r="E67" s="16">
        <f t="shared" ref="E67:E123" si="8">SECOND(C67)</f>
        <v>45</v>
      </c>
      <c r="F67" s="19" t="s">
        <v>16</v>
      </c>
      <c r="G67" s="16" t="s">
        <v>38</v>
      </c>
      <c r="H67" s="16" t="str">
        <f>_xlfn.XLOOKUP(G67,'1-Players'!$A$2:$A$27,'1-Players'!$D$2:$D$27,"")</f>
        <v>Mikel Sanz</v>
      </c>
      <c r="I67" s="19" t="s">
        <v>110</v>
      </c>
      <c r="K67" s="16" t="str" cm="1">
        <f t="array" ref="K67">IFERROR(_xlfn.IFS(I67="Free Throw",1,I67="2-Point Shot",2,I67="Dunk",2,I67="3-Point Shot",3),"")</f>
        <v/>
      </c>
      <c r="L67" s="16" t="str" cm="1">
        <f t="array" ref="L67">IFERROR(_xlfn.IFS(J67="Made",1,J67="Missed",0),"")</f>
        <v/>
      </c>
      <c r="M67" s="16" t="str">
        <f t="shared" ref="M67:M130" si="9">IFERROR(K67*L67,"")</f>
        <v/>
      </c>
      <c r="N67" s="16" t="str">
        <f t="shared" ref="N67:N130" si="10">IF(AND(F67="MANRESA", L67=1), M67, "")</f>
        <v/>
      </c>
      <c r="O67" s="16" t="str">
        <f t="shared" ref="O67:O130" si="11">IF(AND(F67="LLEIDA", L67=1), M67, "")</f>
        <v/>
      </c>
      <c r="P67" s="16">
        <f>SUM($N$2:N67)</f>
        <v>14</v>
      </c>
      <c r="Q67" s="16">
        <f>SUM($O$2:O67)</f>
        <v>9</v>
      </c>
      <c r="R67" s="52" t="str">
        <f t="shared" ref="R67:R130" si="12">IF(OR(P67&lt;&gt;P66, Q67&lt;&gt;Q66), _xlfn.CONCAT("MAN ", P67, " - ", Q67, " LLE"),
   ""
)</f>
        <v/>
      </c>
      <c r="S67" s="53" t="str">
        <f t="shared" ref="S67:S130" si="13">IF(R67="","",C67)</f>
        <v/>
      </c>
    </row>
    <row r="68" spans="1:19" x14ac:dyDescent="0.35">
      <c r="A68" s="16">
        <v>1</v>
      </c>
      <c r="B68" s="19">
        <v>67</v>
      </c>
      <c r="C68" s="47">
        <v>3.9930555555555552E-3</v>
      </c>
      <c r="D68" s="16">
        <f t="shared" si="7"/>
        <v>5</v>
      </c>
      <c r="E68" s="16">
        <f t="shared" si="8"/>
        <v>45</v>
      </c>
      <c r="F68" s="19" t="s">
        <v>16</v>
      </c>
      <c r="G68" s="16" t="s">
        <v>39</v>
      </c>
      <c r="H68" s="16" t="str">
        <f>_xlfn.XLOOKUP(G68,'1-Players'!$A$2:$A$27,'1-Players'!$D$2:$D$27,"")</f>
        <v>Millán Jiménez</v>
      </c>
      <c r="I68" s="19" t="s">
        <v>111</v>
      </c>
      <c r="K68" s="16" t="str" cm="1">
        <f t="array" ref="K68">IFERROR(_xlfn.IFS(I68="Free Throw",1,I68="2-Point Shot",2,I68="Dunk",2,I68="3-Point Shot",3),"")</f>
        <v/>
      </c>
      <c r="L68" s="16" t="str" cm="1">
        <f t="array" ref="L68">IFERROR(_xlfn.IFS(J68="Made",1,J68="Missed",0),"")</f>
        <v/>
      </c>
      <c r="M68" s="16" t="str">
        <f t="shared" si="9"/>
        <v/>
      </c>
      <c r="N68" s="16" t="str">
        <f t="shared" si="10"/>
        <v/>
      </c>
      <c r="O68" s="16" t="str">
        <f t="shared" si="11"/>
        <v/>
      </c>
      <c r="P68" s="16">
        <f>SUM($N$2:N68)</f>
        <v>14</v>
      </c>
      <c r="Q68" s="16">
        <f>SUM($O$2:O68)</f>
        <v>9</v>
      </c>
      <c r="R68" s="52" t="str">
        <f t="shared" si="12"/>
        <v/>
      </c>
      <c r="S68" s="53" t="str">
        <f t="shared" si="13"/>
        <v/>
      </c>
    </row>
    <row r="69" spans="1:19" x14ac:dyDescent="0.35">
      <c r="A69" s="16">
        <v>1</v>
      </c>
      <c r="B69" s="19">
        <v>68</v>
      </c>
      <c r="C69" s="47">
        <v>3.9930555555555552E-3</v>
      </c>
      <c r="D69" s="16">
        <f t="shared" si="7"/>
        <v>5</v>
      </c>
      <c r="E69" s="16">
        <f t="shared" si="8"/>
        <v>45</v>
      </c>
      <c r="F69" s="19" t="s">
        <v>16</v>
      </c>
      <c r="G69" s="16" t="s">
        <v>24</v>
      </c>
      <c r="H69" s="16" t="str">
        <f>_xlfn.XLOOKUP(G69,'1-Players'!$A$2:$A$27,'1-Players'!$D$2:$D$27,"")</f>
        <v>Kristers Zoriks</v>
      </c>
      <c r="I69" s="19" t="s">
        <v>111</v>
      </c>
      <c r="K69" s="16" t="str" cm="1">
        <f t="array" ref="K69">IFERROR(_xlfn.IFS(I69="Free Throw",1,I69="2-Point Shot",2,I69="Dunk",2,I69="3-Point Shot",3),"")</f>
        <v/>
      </c>
      <c r="L69" s="16" t="str" cm="1">
        <f t="array" ref="L69">IFERROR(_xlfn.IFS(J69="Made",1,J69="Missed",0),"")</f>
        <v/>
      </c>
      <c r="M69" s="16" t="str">
        <f t="shared" si="9"/>
        <v/>
      </c>
      <c r="N69" s="16" t="str">
        <f t="shared" si="10"/>
        <v/>
      </c>
      <c r="O69" s="16" t="str">
        <f t="shared" si="11"/>
        <v/>
      </c>
      <c r="P69" s="16">
        <f>SUM($N$2:N69)</f>
        <v>14</v>
      </c>
      <c r="Q69" s="16">
        <f>SUM($O$2:O69)</f>
        <v>9</v>
      </c>
      <c r="R69" s="52" t="str">
        <f t="shared" si="12"/>
        <v/>
      </c>
      <c r="S69" s="53" t="str">
        <f t="shared" si="13"/>
        <v/>
      </c>
    </row>
    <row r="70" spans="1:19" x14ac:dyDescent="0.35">
      <c r="A70" s="16">
        <v>1</v>
      </c>
      <c r="B70" s="19">
        <v>69</v>
      </c>
      <c r="C70" s="47">
        <v>3.9930555555555552E-3</v>
      </c>
      <c r="D70" s="16">
        <f t="shared" si="7"/>
        <v>5</v>
      </c>
      <c r="E70" s="16">
        <f t="shared" si="8"/>
        <v>45</v>
      </c>
      <c r="F70" s="19" t="s">
        <v>16</v>
      </c>
      <c r="G70" s="16" t="s">
        <v>41</v>
      </c>
      <c r="H70" s="16" t="str">
        <f>_xlfn.XLOOKUP(G70,'1-Players'!$A$2:$A$27,'1-Players'!$D$2:$D$27,"")</f>
        <v>John Shurna</v>
      </c>
      <c r="I70" s="19" t="s">
        <v>111</v>
      </c>
      <c r="K70" s="16" t="str" cm="1">
        <f t="array" ref="K70">IFERROR(_xlfn.IFS(I70="Free Throw",1,I70="2-Point Shot",2,I70="Dunk",2,I70="3-Point Shot",3),"")</f>
        <v/>
      </c>
      <c r="L70" s="16" t="str" cm="1">
        <f t="array" ref="L70">IFERROR(_xlfn.IFS(J70="Made",1,J70="Missed",0),"")</f>
        <v/>
      </c>
      <c r="M70" s="16" t="str">
        <f t="shared" si="9"/>
        <v/>
      </c>
      <c r="N70" s="16" t="str">
        <f t="shared" si="10"/>
        <v/>
      </c>
      <c r="O70" s="16" t="str">
        <f t="shared" si="11"/>
        <v/>
      </c>
      <c r="P70" s="16">
        <f>SUM($N$2:N70)</f>
        <v>14</v>
      </c>
      <c r="Q70" s="16">
        <f>SUM($O$2:O70)</f>
        <v>9</v>
      </c>
      <c r="R70" s="52" t="str">
        <f t="shared" si="12"/>
        <v/>
      </c>
      <c r="S70" s="53" t="str">
        <f t="shared" si="13"/>
        <v/>
      </c>
    </row>
    <row r="71" spans="1:19" x14ac:dyDescent="0.35">
      <c r="A71" s="19">
        <v>1</v>
      </c>
      <c r="B71" s="19">
        <v>70</v>
      </c>
      <c r="C71" s="47">
        <v>3.7962962962962963E-3</v>
      </c>
      <c r="D71" s="16">
        <f t="shared" si="7"/>
        <v>5</v>
      </c>
      <c r="E71" s="16">
        <f t="shared" si="8"/>
        <v>28</v>
      </c>
      <c r="F71" s="19" t="s">
        <v>46</v>
      </c>
      <c r="G71" s="16" t="s">
        <v>13</v>
      </c>
      <c r="H71" s="16" t="str">
        <f>_xlfn.XLOOKUP(G71,'1-Players'!$A$2:$A$27,'1-Players'!$D$2:$D$27,"")</f>
        <v>Retin Obasohan</v>
      </c>
      <c r="I71" s="19" t="s">
        <v>82</v>
      </c>
      <c r="J71" s="19" t="s">
        <v>60</v>
      </c>
      <c r="K71" s="16" cm="1">
        <f t="array" ref="K71">IFERROR(_xlfn.IFS(I71="Free Throw",1,I71="2-Point Shot",2,I71="Dunk",2,I71="3-Point Shot",3),"")</f>
        <v>2</v>
      </c>
      <c r="L71" s="16" cm="1">
        <f t="array" ref="L71">IFERROR(_xlfn.IFS(J71="Made",1,J71="Missed",0),"")</f>
        <v>1</v>
      </c>
      <c r="M71" s="16">
        <f t="shared" si="9"/>
        <v>2</v>
      </c>
      <c r="N71" s="16">
        <f t="shared" si="10"/>
        <v>2</v>
      </c>
      <c r="O71" s="16" t="str">
        <f t="shared" si="11"/>
        <v/>
      </c>
      <c r="P71" s="16">
        <f>SUM($N$2:N71)</f>
        <v>16</v>
      </c>
      <c r="Q71" s="16">
        <f>SUM($O$2:O71)</f>
        <v>9</v>
      </c>
      <c r="R71" s="52" t="str">
        <f t="shared" si="12"/>
        <v>MAN 16 - 9 LLE</v>
      </c>
      <c r="S71" s="53">
        <f t="shared" si="13"/>
        <v>3.7962962962962963E-3</v>
      </c>
    </row>
    <row r="72" spans="1:19" x14ac:dyDescent="0.35">
      <c r="A72" s="16">
        <v>1</v>
      </c>
      <c r="B72" s="19">
        <v>71</v>
      </c>
      <c r="C72" s="46">
        <v>3.6342592592592594E-3</v>
      </c>
      <c r="D72" s="16">
        <f t="shared" si="7"/>
        <v>5</v>
      </c>
      <c r="E72" s="16">
        <f t="shared" si="8"/>
        <v>14</v>
      </c>
      <c r="F72" s="19" t="s">
        <v>16</v>
      </c>
      <c r="G72" s="16" t="s">
        <v>15</v>
      </c>
      <c r="H72" s="16" t="str">
        <f>_xlfn.XLOOKUP(G72,'1-Players'!$A$2:$A$27,'1-Players'!$D$2:$D$27,"")</f>
        <v>James Batemon</v>
      </c>
      <c r="I72" s="19" t="s">
        <v>114</v>
      </c>
      <c r="K72" s="16" t="str" cm="1">
        <f t="array" ref="K72">IFERROR(_xlfn.IFS(I72="Free Throw",1,I72="2-Point Shot",2,I72="Dunk",2,I72="3-Point Shot",3),"")</f>
        <v/>
      </c>
      <c r="L72" s="16" t="str" cm="1">
        <f t="array" ref="L72">IFERROR(_xlfn.IFS(J72="Made",1,J72="Missed",0),"")</f>
        <v/>
      </c>
      <c r="M72" s="16" t="str">
        <f t="shared" si="9"/>
        <v/>
      </c>
      <c r="N72" s="16" t="str">
        <f t="shared" si="10"/>
        <v/>
      </c>
      <c r="O72" s="16" t="str">
        <f t="shared" si="11"/>
        <v/>
      </c>
      <c r="P72" s="16">
        <f>SUM($N$2:N72)</f>
        <v>16</v>
      </c>
      <c r="Q72" s="16">
        <f>SUM($O$2:O72)</f>
        <v>9</v>
      </c>
      <c r="R72" s="52" t="str">
        <f t="shared" si="12"/>
        <v/>
      </c>
      <c r="S72" s="53" t="str">
        <f t="shared" si="13"/>
        <v/>
      </c>
    </row>
    <row r="73" spans="1:19" x14ac:dyDescent="0.35">
      <c r="A73" s="16">
        <v>1</v>
      </c>
      <c r="B73" s="19">
        <v>72</v>
      </c>
      <c r="C73" s="46">
        <v>3.6342592592592594E-3</v>
      </c>
      <c r="D73" s="16">
        <f t="shared" si="7"/>
        <v>5</v>
      </c>
      <c r="E73" s="16">
        <f t="shared" si="8"/>
        <v>14</v>
      </c>
      <c r="F73" s="19" t="s">
        <v>16</v>
      </c>
      <c r="G73" s="16" t="s">
        <v>15</v>
      </c>
      <c r="H73" s="16" t="str">
        <f>_xlfn.XLOOKUP(G73,'1-Players'!$A$2:$A$27,'1-Players'!$D$2:$D$27,"")</f>
        <v>James Batemon</v>
      </c>
      <c r="I73" s="19" t="s">
        <v>112</v>
      </c>
      <c r="K73" s="16" t="str" cm="1">
        <f t="array" ref="K73">IFERROR(_xlfn.IFS(I73="Free Throw",1,I73="2-Point Shot",2,I73="Dunk",2,I73="3-Point Shot",3),"")</f>
        <v/>
      </c>
      <c r="L73" s="16" t="str" cm="1">
        <f t="array" ref="L73">IFERROR(_xlfn.IFS(J73="Made",1,J73="Missed",0),"")</f>
        <v/>
      </c>
      <c r="M73" s="16" t="str">
        <f t="shared" si="9"/>
        <v/>
      </c>
      <c r="N73" s="16" t="str">
        <f t="shared" si="10"/>
        <v/>
      </c>
      <c r="O73" s="16" t="str">
        <f t="shared" si="11"/>
        <v/>
      </c>
      <c r="P73" s="16">
        <f>SUM($N$2:N73)</f>
        <v>16</v>
      </c>
      <c r="Q73" s="16">
        <f>SUM($O$2:O73)</f>
        <v>9</v>
      </c>
      <c r="R73" s="52" t="str">
        <f t="shared" si="12"/>
        <v/>
      </c>
      <c r="S73" s="53" t="str">
        <f t="shared" si="13"/>
        <v/>
      </c>
    </row>
    <row r="74" spans="1:19" x14ac:dyDescent="0.35">
      <c r="A74" s="19">
        <v>1</v>
      </c>
      <c r="B74" s="19">
        <v>73</v>
      </c>
      <c r="C74" s="46">
        <v>3.6342592592592594E-3</v>
      </c>
      <c r="D74" s="16">
        <f t="shared" si="7"/>
        <v>5</v>
      </c>
      <c r="E74" s="16">
        <f t="shared" si="8"/>
        <v>14</v>
      </c>
      <c r="F74" s="19" t="s">
        <v>46</v>
      </c>
      <c r="G74" s="16" t="s">
        <v>13</v>
      </c>
      <c r="H74" s="16" t="str">
        <f>_xlfn.XLOOKUP(G74,'1-Players'!$A$2:$A$27,'1-Players'!$D$2:$D$27,"")</f>
        <v>Retin Obasohan</v>
      </c>
      <c r="I74" s="19" t="s">
        <v>108</v>
      </c>
      <c r="K74" s="16" t="str" cm="1">
        <f t="array" ref="K74">IFERROR(_xlfn.IFS(I74="Free Throw",1,I74="2-Point Shot",2,I74="Dunk",2,I74="3-Point Shot",3),"")</f>
        <v/>
      </c>
      <c r="L74" s="16" t="str" cm="1">
        <f t="array" ref="L74">IFERROR(_xlfn.IFS(J74="Made",1,J74="Missed",0),"")</f>
        <v/>
      </c>
      <c r="M74" s="16" t="str">
        <f t="shared" si="9"/>
        <v/>
      </c>
      <c r="N74" s="16" t="str">
        <f t="shared" si="10"/>
        <v/>
      </c>
      <c r="O74" s="16" t="str">
        <f t="shared" si="11"/>
        <v/>
      </c>
      <c r="P74" s="16">
        <f>SUM($N$2:N74)</f>
        <v>16</v>
      </c>
      <c r="Q74" s="16">
        <f>SUM($O$2:O74)</f>
        <v>9</v>
      </c>
      <c r="R74" s="52" t="str">
        <f t="shared" si="12"/>
        <v/>
      </c>
      <c r="S74" s="53" t="str">
        <f t="shared" si="13"/>
        <v/>
      </c>
    </row>
    <row r="75" spans="1:19" x14ac:dyDescent="0.35">
      <c r="A75" s="16">
        <v>1</v>
      </c>
      <c r="B75" s="19">
        <v>74</v>
      </c>
      <c r="C75" s="46">
        <v>3.6342592592592594E-3</v>
      </c>
      <c r="D75" s="16">
        <f t="shared" si="7"/>
        <v>5</v>
      </c>
      <c r="E75" s="16">
        <f t="shared" si="8"/>
        <v>14</v>
      </c>
      <c r="F75" s="19" t="s">
        <v>46</v>
      </c>
      <c r="G75" s="16" t="s">
        <v>13</v>
      </c>
      <c r="H75" s="16" t="str">
        <f>_xlfn.XLOOKUP(G75,'1-Players'!$A$2:$A$27,'1-Players'!$D$2:$D$27,"")</f>
        <v>Retin Obasohan</v>
      </c>
      <c r="I75" s="19" t="s">
        <v>110</v>
      </c>
      <c r="K75" s="16" t="str" cm="1">
        <f t="array" ref="K75">IFERROR(_xlfn.IFS(I75="Free Throw",1,I75="2-Point Shot",2,I75="Dunk",2,I75="3-Point Shot",3),"")</f>
        <v/>
      </c>
      <c r="L75" s="16" t="str" cm="1">
        <f t="array" ref="L75">IFERROR(_xlfn.IFS(J75="Made",1,J75="Missed",0),"")</f>
        <v/>
      </c>
      <c r="M75" s="16" t="str">
        <f t="shared" si="9"/>
        <v/>
      </c>
      <c r="N75" s="16" t="str">
        <f t="shared" si="10"/>
        <v/>
      </c>
      <c r="O75" s="16" t="str">
        <f t="shared" si="11"/>
        <v/>
      </c>
      <c r="P75" s="16">
        <f>SUM($N$2:N75)</f>
        <v>16</v>
      </c>
      <c r="Q75" s="16">
        <f>SUM($O$2:O75)</f>
        <v>9</v>
      </c>
      <c r="R75" s="52" t="str">
        <f t="shared" si="12"/>
        <v/>
      </c>
      <c r="S75" s="53" t="str">
        <f t="shared" si="13"/>
        <v/>
      </c>
    </row>
    <row r="76" spans="1:19" x14ac:dyDescent="0.35">
      <c r="A76" s="16">
        <v>1</v>
      </c>
      <c r="B76" s="19">
        <v>75</v>
      </c>
      <c r="C76" s="46">
        <v>3.6342592592592594E-3</v>
      </c>
      <c r="D76" s="16">
        <f t="shared" si="7"/>
        <v>5</v>
      </c>
      <c r="E76" s="16">
        <f t="shared" si="8"/>
        <v>14</v>
      </c>
      <c r="F76" s="19" t="s">
        <v>46</v>
      </c>
      <c r="G76" s="16" t="s">
        <v>69</v>
      </c>
      <c r="H76" s="16" t="str">
        <f>_xlfn.XLOOKUP(G76,'1-Players'!$A$2:$A$27,'1-Players'!$D$2:$D$27,"")</f>
        <v>Alfonso Plummer</v>
      </c>
      <c r="I76" s="19" t="s">
        <v>111</v>
      </c>
      <c r="K76" s="16" t="str" cm="1">
        <f t="array" ref="K76">IFERROR(_xlfn.IFS(I76="Free Throw",1,I76="2-Point Shot",2,I76="Dunk",2,I76="3-Point Shot",3),"")</f>
        <v/>
      </c>
      <c r="L76" s="16" t="str" cm="1">
        <f t="array" ref="L76">IFERROR(_xlfn.IFS(J76="Made",1,J76="Missed",0),"")</f>
        <v/>
      </c>
      <c r="M76" s="16" t="str">
        <f t="shared" si="9"/>
        <v/>
      </c>
      <c r="N76" s="16" t="str">
        <f t="shared" si="10"/>
        <v/>
      </c>
      <c r="O76" s="16" t="str">
        <f t="shared" si="11"/>
        <v/>
      </c>
      <c r="P76" s="16">
        <f>SUM($N$2:N76)</f>
        <v>16</v>
      </c>
      <c r="Q76" s="16">
        <f>SUM($O$2:O76)</f>
        <v>9</v>
      </c>
      <c r="R76" s="52" t="str">
        <f t="shared" si="12"/>
        <v/>
      </c>
      <c r="S76" s="53" t="str">
        <f t="shared" si="13"/>
        <v/>
      </c>
    </row>
    <row r="77" spans="1:19" x14ac:dyDescent="0.35">
      <c r="A77" s="16">
        <v>1</v>
      </c>
      <c r="B77" s="19">
        <v>76</v>
      </c>
      <c r="C77" s="46">
        <v>3.6342592592592594E-3</v>
      </c>
      <c r="D77" s="16">
        <f t="shared" si="7"/>
        <v>5</v>
      </c>
      <c r="E77" s="16">
        <f t="shared" si="8"/>
        <v>14</v>
      </c>
      <c r="F77" s="19" t="s">
        <v>16</v>
      </c>
      <c r="G77" s="16" t="s">
        <v>15</v>
      </c>
      <c r="H77" s="16" t="str">
        <f>_xlfn.XLOOKUP(G77,'1-Players'!$A$2:$A$27,'1-Players'!$D$2:$D$27,"")</f>
        <v>James Batemon</v>
      </c>
      <c r="I77" s="19" t="s">
        <v>110</v>
      </c>
      <c r="K77" s="16" t="str" cm="1">
        <f t="array" ref="K77">IFERROR(_xlfn.IFS(I77="Free Throw",1,I77="2-Point Shot",2,I77="Dunk",2,I77="3-Point Shot",3),"")</f>
        <v/>
      </c>
      <c r="L77" s="16" t="str" cm="1">
        <f t="array" ref="L77">IFERROR(_xlfn.IFS(J77="Made",1,J77="Missed",0),"")</f>
        <v/>
      </c>
      <c r="M77" s="16" t="str">
        <f t="shared" si="9"/>
        <v/>
      </c>
      <c r="N77" s="16" t="str">
        <f t="shared" si="10"/>
        <v/>
      </c>
      <c r="O77" s="16" t="str">
        <f t="shared" si="11"/>
        <v/>
      </c>
      <c r="P77" s="16">
        <f>SUM($N$2:N77)</f>
        <v>16</v>
      </c>
      <c r="Q77" s="16">
        <f>SUM($O$2:O77)</f>
        <v>9</v>
      </c>
      <c r="R77" s="52" t="str">
        <f t="shared" si="12"/>
        <v/>
      </c>
      <c r="S77" s="53" t="str">
        <f t="shared" si="13"/>
        <v/>
      </c>
    </row>
    <row r="78" spans="1:19" x14ac:dyDescent="0.35">
      <c r="A78" s="16">
        <v>1</v>
      </c>
      <c r="B78" s="19">
        <v>77</v>
      </c>
      <c r="C78" s="46">
        <v>3.6342592592592594E-3</v>
      </c>
      <c r="D78" s="16">
        <f t="shared" si="7"/>
        <v>5</v>
      </c>
      <c r="E78" s="16">
        <f t="shared" si="8"/>
        <v>14</v>
      </c>
      <c r="F78" s="19" t="s">
        <v>16</v>
      </c>
      <c r="G78" s="16" t="s">
        <v>18</v>
      </c>
      <c r="H78" s="16" t="str">
        <f>_xlfn.XLOOKUP(G78,'1-Players'!$A$2:$A$27,'1-Players'!$D$2:$D$27,"")</f>
        <v>Corey Walden</v>
      </c>
      <c r="I78" s="19" t="s">
        <v>111</v>
      </c>
      <c r="K78" s="16" t="str" cm="1">
        <f t="array" ref="K78">IFERROR(_xlfn.IFS(I78="Free Throw",1,I78="2-Point Shot",2,I78="Dunk",2,I78="3-Point Shot",3),"")</f>
        <v/>
      </c>
      <c r="L78" s="16" t="str" cm="1">
        <f t="array" ref="L78">IFERROR(_xlfn.IFS(J78="Made",1,J78="Missed",0),"")</f>
        <v/>
      </c>
      <c r="M78" s="16" t="str">
        <f t="shared" si="9"/>
        <v/>
      </c>
      <c r="N78" s="16" t="str">
        <f t="shared" si="10"/>
        <v/>
      </c>
      <c r="O78" s="16" t="str">
        <f t="shared" si="11"/>
        <v/>
      </c>
      <c r="P78" s="16">
        <f>SUM($N$2:N78)</f>
        <v>16</v>
      </c>
      <c r="Q78" s="16">
        <f>SUM($O$2:O78)</f>
        <v>9</v>
      </c>
      <c r="R78" s="52" t="str">
        <f t="shared" si="12"/>
        <v/>
      </c>
      <c r="S78" s="53" t="str">
        <f t="shared" si="13"/>
        <v/>
      </c>
    </row>
    <row r="79" spans="1:19" x14ac:dyDescent="0.35">
      <c r="A79" s="16">
        <v>1</v>
      </c>
      <c r="B79" s="19">
        <v>78</v>
      </c>
      <c r="C79" s="46">
        <v>3.4375E-3</v>
      </c>
      <c r="D79" s="16">
        <f t="shared" si="7"/>
        <v>4</v>
      </c>
      <c r="E79" s="16">
        <f t="shared" si="8"/>
        <v>57</v>
      </c>
      <c r="F79" s="19" t="s">
        <v>46</v>
      </c>
      <c r="G79" s="16" t="s">
        <v>68</v>
      </c>
      <c r="H79" s="16" t="str">
        <f>_xlfn.XLOOKUP(G79,'1-Players'!$A$2:$A$27,'1-Players'!$D$2:$D$27,"")</f>
        <v>Dani Pérez</v>
      </c>
      <c r="I79" s="19" t="s">
        <v>112</v>
      </c>
      <c r="J79" s="19" t="s">
        <v>113</v>
      </c>
      <c r="K79" s="16" t="str" cm="1">
        <f t="array" ref="K79">IFERROR(_xlfn.IFS(I79="Free Throw",1,I79="2-Point Shot",2,I79="Dunk",2,I79="3-Point Shot",3),"")</f>
        <v/>
      </c>
      <c r="L79" s="16" t="str" cm="1">
        <f t="array" ref="L79">IFERROR(_xlfn.IFS(J79="Made",1,J79="Missed",0),"")</f>
        <v/>
      </c>
      <c r="M79" s="16" t="str">
        <f t="shared" si="9"/>
        <v/>
      </c>
      <c r="N79" s="16" t="str">
        <f t="shared" si="10"/>
        <v/>
      </c>
      <c r="O79" s="16" t="str">
        <f t="shared" si="11"/>
        <v/>
      </c>
      <c r="P79" s="16">
        <f>SUM($N$2:N79)</f>
        <v>16</v>
      </c>
      <c r="Q79" s="16">
        <f>SUM($O$2:O79)</f>
        <v>9</v>
      </c>
      <c r="R79" s="52" t="str">
        <f t="shared" si="12"/>
        <v/>
      </c>
      <c r="S79" s="53" t="str">
        <f t="shared" si="13"/>
        <v/>
      </c>
    </row>
    <row r="80" spans="1:19" x14ac:dyDescent="0.35">
      <c r="A80" s="19">
        <v>1</v>
      </c>
      <c r="B80" s="19">
        <v>79</v>
      </c>
      <c r="C80" s="46">
        <v>3.4375E-3</v>
      </c>
      <c r="D80" s="16">
        <f t="shared" si="7"/>
        <v>4</v>
      </c>
      <c r="E80" s="16">
        <f t="shared" si="8"/>
        <v>57</v>
      </c>
      <c r="F80" s="19" t="s">
        <v>16</v>
      </c>
      <c r="G80" s="16" t="s">
        <v>45</v>
      </c>
      <c r="H80" s="16" t="str">
        <f>_xlfn.XLOOKUP(G80,'1-Players'!$A$2:$A$27,'1-Players'!$D$2:$D$27,"")</f>
        <v>Gyorgy Golomán</v>
      </c>
      <c r="I80" s="19" t="s">
        <v>115</v>
      </c>
      <c r="K80" s="16" t="str" cm="1">
        <f t="array" ref="K80">IFERROR(_xlfn.IFS(I80="Free Throw",1,I80="2-Point Shot",2,I80="Dunk",2,I80="3-Point Shot",3),"")</f>
        <v/>
      </c>
      <c r="L80" s="16" t="str" cm="1">
        <f t="array" ref="L80">IFERROR(_xlfn.IFS(J80="Made",1,J80="Missed",0),"")</f>
        <v/>
      </c>
      <c r="M80" s="16" t="str">
        <f t="shared" si="9"/>
        <v/>
      </c>
      <c r="N80" s="16" t="str">
        <f t="shared" si="10"/>
        <v/>
      </c>
      <c r="O80" s="16" t="str">
        <f t="shared" si="11"/>
        <v/>
      </c>
      <c r="P80" s="16">
        <f>SUM($N$2:N80)</f>
        <v>16</v>
      </c>
      <c r="Q80" s="16">
        <f>SUM($O$2:O80)</f>
        <v>9</v>
      </c>
      <c r="R80" s="52" t="str">
        <f t="shared" si="12"/>
        <v/>
      </c>
      <c r="S80" s="53" t="str">
        <f t="shared" si="13"/>
        <v/>
      </c>
    </row>
    <row r="81" spans="1:19" x14ac:dyDescent="0.35">
      <c r="A81" s="19">
        <v>1</v>
      </c>
      <c r="B81" s="19">
        <v>80</v>
      </c>
      <c r="C81" s="46">
        <v>3.1828703703703702E-3</v>
      </c>
      <c r="D81" s="16">
        <f t="shared" si="7"/>
        <v>4</v>
      </c>
      <c r="E81" s="16">
        <f t="shared" si="8"/>
        <v>35</v>
      </c>
      <c r="F81" s="19" t="s">
        <v>46</v>
      </c>
      <c r="G81" s="16" t="s">
        <v>69</v>
      </c>
      <c r="H81" s="16" t="str">
        <f>_xlfn.XLOOKUP(G81,'1-Players'!$A$2:$A$27,'1-Players'!$D$2:$D$27,"")</f>
        <v>Alfonso Plummer</v>
      </c>
      <c r="I81" s="19" t="s">
        <v>106</v>
      </c>
      <c r="J81" s="19" t="s">
        <v>116</v>
      </c>
      <c r="K81" s="16" t="str" cm="1">
        <f t="array" ref="K81">IFERROR(_xlfn.IFS(I81="Free Throw",1,I81="2-Point Shot",2,I81="Dunk",2,I81="3-Point Shot",3),"")</f>
        <v/>
      </c>
      <c r="L81" s="16" t="str" cm="1">
        <f t="array" ref="L81">IFERROR(_xlfn.IFS(J81="Made",1,J81="Missed",0),"")</f>
        <v/>
      </c>
      <c r="M81" s="16" t="str">
        <f t="shared" si="9"/>
        <v/>
      </c>
      <c r="N81" s="16" t="str">
        <f t="shared" si="10"/>
        <v/>
      </c>
      <c r="O81" s="16" t="str">
        <f t="shared" si="11"/>
        <v/>
      </c>
      <c r="P81" s="16">
        <f>SUM($N$2:N81)</f>
        <v>16</v>
      </c>
      <c r="Q81" s="16">
        <f>SUM($O$2:O81)</f>
        <v>9</v>
      </c>
      <c r="R81" s="52" t="str">
        <f t="shared" si="12"/>
        <v/>
      </c>
      <c r="S81" s="53" t="str">
        <f t="shared" si="13"/>
        <v/>
      </c>
    </row>
    <row r="82" spans="1:19" x14ac:dyDescent="0.35">
      <c r="A82" s="16">
        <v>1</v>
      </c>
      <c r="B82" s="19">
        <v>81</v>
      </c>
      <c r="C82" s="46">
        <v>3.1828703703703702E-3</v>
      </c>
      <c r="D82" s="16">
        <f t="shared" si="7"/>
        <v>4</v>
      </c>
      <c r="E82" s="16">
        <f t="shared" si="8"/>
        <v>35</v>
      </c>
      <c r="F82" s="19" t="s">
        <v>16</v>
      </c>
      <c r="G82" s="16" t="s">
        <v>24</v>
      </c>
      <c r="H82" s="16" t="str">
        <f>_xlfn.XLOOKUP(G82,'1-Players'!$A$2:$A$27,'1-Players'!$D$2:$D$27,"")</f>
        <v>Kristers Zoriks</v>
      </c>
      <c r="I82" s="19" t="s">
        <v>108</v>
      </c>
      <c r="K82" s="16" t="str" cm="1">
        <f t="array" ref="K82">IFERROR(_xlfn.IFS(I82="Free Throw",1,I82="2-Point Shot",2,I82="Dunk",2,I82="3-Point Shot",3),"")</f>
        <v/>
      </c>
      <c r="L82" s="16" t="str" cm="1">
        <f t="array" ref="L82">IFERROR(_xlfn.IFS(J82="Made",1,J82="Missed",0),"")</f>
        <v/>
      </c>
      <c r="M82" s="16" t="str">
        <f t="shared" si="9"/>
        <v/>
      </c>
      <c r="N82" s="16" t="str">
        <f t="shared" si="10"/>
        <v/>
      </c>
      <c r="O82" s="16" t="str">
        <f t="shared" si="11"/>
        <v/>
      </c>
      <c r="P82" s="16">
        <f>SUM($N$2:N82)</f>
        <v>16</v>
      </c>
      <c r="Q82" s="16">
        <f>SUM($O$2:O82)</f>
        <v>9</v>
      </c>
      <c r="R82" s="52" t="str">
        <f t="shared" si="12"/>
        <v/>
      </c>
      <c r="S82" s="53" t="str">
        <f t="shared" si="13"/>
        <v/>
      </c>
    </row>
    <row r="83" spans="1:19" x14ac:dyDescent="0.35">
      <c r="A83" s="16">
        <v>1</v>
      </c>
      <c r="B83" s="19">
        <v>81</v>
      </c>
      <c r="C83" s="46">
        <v>3.1828703703703702E-3</v>
      </c>
      <c r="D83" s="16">
        <f t="shared" si="7"/>
        <v>4</v>
      </c>
      <c r="E83" s="16">
        <f t="shared" si="8"/>
        <v>35</v>
      </c>
      <c r="F83" s="19" t="s">
        <v>46</v>
      </c>
      <c r="G83" s="16" t="s">
        <v>7</v>
      </c>
      <c r="H83" s="16" t="str">
        <f>_xlfn.XLOOKUP(G83,'1-Players'!$A$2:$A$27,'1-Players'!$D$2:$D$27,"")</f>
        <v>Álex Reyes</v>
      </c>
      <c r="I83" s="19" t="s">
        <v>110</v>
      </c>
      <c r="K83" s="16" t="str" cm="1">
        <f t="array" ref="K83">IFERROR(_xlfn.IFS(I83="Free Throw",1,I83="2-Point Shot",2,I83="Dunk",2,I83="3-Point Shot",3),"")</f>
        <v/>
      </c>
      <c r="L83" s="16" t="str" cm="1">
        <f t="array" ref="L83">IFERROR(_xlfn.IFS(J83="Made",1,J83="Missed",0),"")</f>
        <v/>
      </c>
      <c r="M83" s="16" t="str">
        <f t="shared" si="9"/>
        <v/>
      </c>
      <c r="N83" s="16" t="str">
        <f t="shared" si="10"/>
        <v/>
      </c>
      <c r="O83" s="16" t="str">
        <f t="shared" si="11"/>
        <v/>
      </c>
      <c r="P83" s="16">
        <f>SUM($N$2:N83)</f>
        <v>16</v>
      </c>
      <c r="Q83" s="16">
        <f>SUM($O$2:O83)</f>
        <v>9</v>
      </c>
      <c r="R83" s="52" t="str">
        <f t="shared" si="12"/>
        <v/>
      </c>
      <c r="S83" s="53" t="str">
        <f t="shared" si="13"/>
        <v/>
      </c>
    </row>
    <row r="84" spans="1:19" x14ac:dyDescent="0.35">
      <c r="A84" s="16">
        <v>1</v>
      </c>
      <c r="B84" s="19">
        <v>82</v>
      </c>
      <c r="C84" s="46">
        <v>3.1828703703703702E-3</v>
      </c>
      <c r="D84" s="16">
        <f t="shared" si="7"/>
        <v>4</v>
      </c>
      <c r="E84" s="16">
        <f t="shared" si="8"/>
        <v>35</v>
      </c>
      <c r="F84" s="19" t="s">
        <v>46</v>
      </c>
      <c r="G84" s="16" t="s">
        <v>9</v>
      </c>
      <c r="H84" s="16" t="str">
        <f>_xlfn.XLOOKUP(G84,'1-Players'!$A$2:$A$27,'1-Players'!$D$2:$D$27,"")</f>
        <v>Agustín Ubal</v>
      </c>
      <c r="I84" s="19" t="s">
        <v>111</v>
      </c>
      <c r="K84" s="16" t="str" cm="1">
        <f t="array" ref="K84">IFERROR(_xlfn.IFS(I84="Free Throw",1,I84="2-Point Shot",2,I84="Dunk",2,I84="3-Point Shot",3),"")</f>
        <v/>
      </c>
      <c r="L84" s="16" t="str" cm="1">
        <f t="array" ref="L84">IFERROR(_xlfn.IFS(J84="Made",1,J84="Missed",0),"")</f>
        <v/>
      </c>
      <c r="M84" s="16" t="str">
        <f t="shared" si="9"/>
        <v/>
      </c>
      <c r="N84" s="16" t="str">
        <f t="shared" si="10"/>
        <v/>
      </c>
      <c r="O84" s="16" t="str">
        <f t="shared" si="11"/>
        <v/>
      </c>
      <c r="P84" s="16">
        <f>SUM($N$2:N84)</f>
        <v>16</v>
      </c>
      <c r="Q84" s="16">
        <f>SUM($O$2:O84)</f>
        <v>9</v>
      </c>
      <c r="R84" s="52" t="str">
        <f t="shared" si="12"/>
        <v/>
      </c>
      <c r="S84" s="53" t="str">
        <f t="shared" si="13"/>
        <v/>
      </c>
    </row>
    <row r="85" spans="1:19" x14ac:dyDescent="0.35">
      <c r="A85" s="16">
        <v>1</v>
      </c>
      <c r="B85" s="19">
        <v>84</v>
      </c>
      <c r="C85" s="46">
        <v>3.1828703703703702E-3</v>
      </c>
      <c r="D85" s="16">
        <f t="shared" si="7"/>
        <v>4</v>
      </c>
      <c r="E85" s="16">
        <f t="shared" si="8"/>
        <v>35</v>
      </c>
      <c r="F85" s="19" t="s">
        <v>16</v>
      </c>
      <c r="G85" s="16" t="s">
        <v>24</v>
      </c>
      <c r="H85" s="16" t="str">
        <f>_xlfn.XLOOKUP(G85,'1-Players'!$A$2:$A$27,'1-Players'!$D$2:$D$27,"")</f>
        <v>Kristers Zoriks</v>
      </c>
      <c r="I85" s="19" t="s">
        <v>85</v>
      </c>
      <c r="J85" s="19" t="s">
        <v>60</v>
      </c>
      <c r="K85" s="16" cm="1">
        <f t="array" ref="K85">IFERROR(_xlfn.IFS(I85="Free Throw",1,I85="2-Point Shot",2,I85="Dunk",2,I85="3-Point Shot",3),"")</f>
        <v>1</v>
      </c>
      <c r="L85" s="16" cm="1">
        <f t="array" ref="L85">IFERROR(_xlfn.IFS(J85="Made",1,J85="Missed",0),"")</f>
        <v>1</v>
      </c>
      <c r="M85" s="16">
        <f t="shared" si="9"/>
        <v>1</v>
      </c>
      <c r="N85" s="16" t="str">
        <f t="shared" si="10"/>
        <v/>
      </c>
      <c r="O85" s="16">
        <f t="shared" si="11"/>
        <v>1</v>
      </c>
      <c r="P85" s="16">
        <f>SUM($N$2:N85)</f>
        <v>16</v>
      </c>
      <c r="Q85" s="16">
        <f>SUM($O$2:O85)</f>
        <v>10</v>
      </c>
      <c r="R85" s="52" t="str">
        <f t="shared" si="12"/>
        <v>MAN 16 - 10 LLE</v>
      </c>
      <c r="S85" s="53">
        <f t="shared" si="13"/>
        <v>3.1828703703703702E-3</v>
      </c>
    </row>
    <row r="86" spans="1:19" x14ac:dyDescent="0.35">
      <c r="A86" s="19">
        <v>1</v>
      </c>
      <c r="B86" s="19">
        <v>85</v>
      </c>
      <c r="C86" s="46">
        <v>3.1828703703703702E-3</v>
      </c>
      <c r="D86" s="16">
        <f t="shared" si="7"/>
        <v>4</v>
      </c>
      <c r="E86" s="16">
        <f t="shared" si="8"/>
        <v>35</v>
      </c>
      <c r="F86" s="19" t="s">
        <v>16</v>
      </c>
      <c r="G86" s="16" t="s">
        <v>24</v>
      </c>
      <c r="H86" s="16" t="str">
        <f>_xlfn.XLOOKUP(G86,'1-Players'!$A$2:$A$27,'1-Players'!$D$2:$D$27,"")</f>
        <v>Kristers Zoriks</v>
      </c>
      <c r="I86" s="19" t="s">
        <v>85</v>
      </c>
      <c r="J86" s="19" t="s">
        <v>60</v>
      </c>
      <c r="K86" s="16" cm="1">
        <f t="array" ref="K86">IFERROR(_xlfn.IFS(I86="Free Throw",1,I86="2-Point Shot",2,I86="Dunk",2,I86="3-Point Shot",3),"")</f>
        <v>1</v>
      </c>
      <c r="L86" s="16" cm="1">
        <f t="array" ref="L86">IFERROR(_xlfn.IFS(J86="Made",1,J86="Missed",0),"")</f>
        <v>1</v>
      </c>
      <c r="M86" s="16">
        <f t="shared" si="9"/>
        <v>1</v>
      </c>
      <c r="N86" s="16" t="str">
        <f t="shared" si="10"/>
        <v/>
      </c>
      <c r="O86" s="16">
        <f t="shared" si="11"/>
        <v>1</v>
      </c>
      <c r="P86" s="16">
        <f>SUM($N$2:N86)</f>
        <v>16</v>
      </c>
      <c r="Q86" s="16">
        <f>SUM($O$2:O86)</f>
        <v>11</v>
      </c>
      <c r="R86" s="52" t="str">
        <f t="shared" si="12"/>
        <v>MAN 16 - 11 LLE</v>
      </c>
      <c r="S86" s="53">
        <f t="shared" si="13"/>
        <v>3.1828703703703702E-3</v>
      </c>
    </row>
    <row r="87" spans="1:19" x14ac:dyDescent="0.35">
      <c r="A87" s="16">
        <v>1</v>
      </c>
      <c r="B87" s="19">
        <v>86</v>
      </c>
      <c r="C87" s="46">
        <v>3.1828703703703702E-3</v>
      </c>
      <c r="D87" s="16">
        <f t="shared" si="7"/>
        <v>4</v>
      </c>
      <c r="E87" s="16">
        <f t="shared" si="8"/>
        <v>35</v>
      </c>
      <c r="F87" s="19" t="s">
        <v>16</v>
      </c>
      <c r="G87" s="16" t="s">
        <v>24</v>
      </c>
      <c r="H87" s="16" t="str">
        <f>_xlfn.XLOOKUP(G87,'1-Players'!$A$2:$A$27,'1-Players'!$D$2:$D$27,"")</f>
        <v>Kristers Zoriks</v>
      </c>
      <c r="I87" s="19" t="s">
        <v>85</v>
      </c>
      <c r="J87" s="19" t="s">
        <v>63</v>
      </c>
      <c r="K87" s="16" cm="1">
        <f t="array" ref="K87">IFERROR(_xlfn.IFS(I87="Free Throw",1,I87="2-Point Shot",2,I87="Dunk",2,I87="3-Point Shot",3),"")</f>
        <v>1</v>
      </c>
      <c r="L87" s="16" cm="1">
        <f t="array" ref="L87">IFERROR(_xlfn.IFS(J87="Made",1,J87="Missed",0),"")</f>
        <v>0</v>
      </c>
      <c r="M87" s="16">
        <f t="shared" si="9"/>
        <v>0</v>
      </c>
      <c r="N87" s="16" t="str">
        <f t="shared" si="10"/>
        <v/>
      </c>
      <c r="O87" s="16" t="str">
        <f t="shared" si="11"/>
        <v/>
      </c>
      <c r="P87" s="16">
        <f>SUM($N$2:N87)</f>
        <v>16</v>
      </c>
      <c r="Q87" s="16">
        <f>SUM($O$2:O87)</f>
        <v>11</v>
      </c>
      <c r="R87" s="52" t="str">
        <f t="shared" si="12"/>
        <v/>
      </c>
      <c r="S87" s="53" t="str">
        <f t="shared" si="13"/>
        <v/>
      </c>
    </row>
    <row r="88" spans="1:19" x14ac:dyDescent="0.35">
      <c r="A88" s="16">
        <v>1</v>
      </c>
      <c r="B88" s="19">
        <v>87</v>
      </c>
      <c r="C88" s="46">
        <v>3.1828703703703702E-3</v>
      </c>
      <c r="D88" s="16">
        <f t="shared" si="7"/>
        <v>4</v>
      </c>
      <c r="E88" s="16">
        <f t="shared" si="8"/>
        <v>35</v>
      </c>
      <c r="F88" s="19" t="s">
        <v>46</v>
      </c>
      <c r="G88" s="16" t="s">
        <v>27</v>
      </c>
      <c r="H88" s="16" t="str">
        <f>_xlfn.XLOOKUP(G88,'1-Players'!$A$2:$A$27,'1-Players'!$D$2:$D$27,"")</f>
        <v>Kaodirichi Akobundu</v>
      </c>
      <c r="I88" s="19" t="s">
        <v>84</v>
      </c>
      <c r="J88" s="19"/>
      <c r="K88" s="16" t="str" cm="1">
        <f t="array" ref="K88">IFERROR(_xlfn.IFS(I88="Free Throw",1,I88="2-Point Shot",2,I88="Dunk",2,I88="3-Point Shot",3),"")</f>
        <v/>
      </c>
      <c r="L88" s="16" t="str" cm="1">
        <f t="array" ref="L88">IFERROR(_xlfn.IFS(J88="Made",1,J88="Missed",0),"")</f>
        <v/>
      </c>
      <c r="M88" s="16" t="str">
        <f t="shared" si="9"/>
        <v/>
      </c>
      <c r="N88" s="16" t="str">
        <f t="shared" si="10"/>
        <v/>
      </c>
      <c r="O88" s="16" t="str">
        <f t="shared" si="11"/>
        <v/>
      </c>
      <c r="P88" s="16">
        <f>SUM($N$2:N88)</f>
        <v>16</v>
      </c>
      <c r="Q88" s="16">
        <f>SUM($O$2:O88)</f>
        <v>11</v>
      </c>
      <c r="R88" s="52" t="str">
        <f t="shared" si="12"/>
        <v/>
      </c>
      <c r="S88" s="53" t="str">
        <f t="shared" si="13"/>
        <v/>
      </c>
    </row>
    <row r="89" spans="1:19" x14ac:dyDescent="0.35">
      <c r="A89" s="19">
        <v>1</v>
      </c>
      <c r="B89" s="19">
        <v>88</v>
      </c>
      <c r="C89" s="46">
        <v>2.9513888888888888E-3</v>
      </c>
      <c r="D89" s="16">
        <f t="shared" si="7"/>
        <v>4</v>
      </c>
      <c r="E89" s="16">
        <f t="shared" si="8"/>
        <v>15</v>
      </c>
      <c r="F89" s="19" t="s">
        <v>99</v>
      </c>
      <c r="G89" s="16" t="s">
        <v>68</v>
      </c>
      <c r="H89" s="16" t="str">
        <f>_xlfn.XLOOKUP(G89,'1-Players'!$A$2:$A$27,'1-Players'!$D$2:$D$27,"")</f>
        <v>Dani Pérez</v>
      </c>
      <c r="I89" s="19" t="s">
        <v>83</v>
      </c>
      <c r="J89" s="19" t="s">
        <v>63</v>
      </c>
      <c r="K89" s="16" cm="1">
        <f t="array" ref="K89">IFERROR(_xlfn.IFS(I89="Free Throw",1,I89="2-Point Shot",2,I89="Dunk",2,I89="3-Point Shot",3),"")</f>
        <v>3</v>
      </c>
      <c r="L89" s="16" cm="1">
        <f t="array" ref="L89">IFERROR(_xlfn.IFS(J89="Made",1,J89="Missed",0),"")</f>
        <v>0</v>
      </c>
      <c r="M89" s="16">
        <f t="shared" si="9"/>
        <v>0</v>
      </c>
      <c r="N89" s="16" t="str">
        <f t="shared" si="10"/>
        <v/>
      </c>
      <c r="O89" s="16" t="str">
        <f t="shared" si="11"/>
        <v/>
      </c>
      <c r="P89" s="16">
        <f>SUM($N$2:N89)</f>
        <v>16</v>
      </c>
      <c r="Q89" s="16">
        <f>SUM($O$2:O89)</f>
        <v>11</v>
      </c>
      <c r="R89" s="52" t="str">
        <f t="shared" si="12"/>
        <v/>
      </c>
      <c r="S89" s="53" t="str">
        <f t="shared" si="13"/>
        <v/>
      </c>
    </row>
    <row r="90" spans="1:19" x14ac:dyDescent="0.35">
      <c r="A90" s="16">
        <v>1</v>
      </c>
      <c r="B90" s="19">
        <v>89</v>
      </c>
      <c r="C90" s="46">
        <v>2.9513888888888888E-3</v>
      </c>
      <c r="D90" s="16">
        <f t="shared" si="7"/>
        <v>4</v>
      </c>
      <c r="E90" s="16">
        <f t="shared" si="8"/>
        <v>15</v>
      </c>
      <c r="F90" s="19" t="s">
        <v>16</v>
      </c>
      <c r="G90" s="16" t="s">
        <v>18</v>
      </c>
      <c r="H90" s="16" t="str">
        <f>_xlfn.XLOOKUP(G90,'1-Players'!$A$2:$A$27,'1-Players'!$D$2:$D$27,"")</f>
        <v>Corey Walden</v>
      </c>
      <c r="I90" s="19" t="s">
        <v>84</v>
      </c>
      <c r="K90" s="16" t="str" cm="1">
        <f t="array" ref="K90">IFERROR(_xlfn.IFS(I90="Free Throw",1,I90="2-Point Shot",2,I90="Dunk",2,I90="3-Point Shot",3),"")</f>
        <v/>
      </c>
      <c r="L90" s="16" t="str" cm="1">
        <f t="array" ref="L90">IFERROR(_xlfn.IFS(J90="Made",1,J90="Missed",0),"")</f>
        <v/>
      </c>
      <c r="M90" s="16" t="str">
        <f t="shared" si="9"/>
        <v/>
      </c>
      <c r="N90" s="16" t="str">
        <f t="shared" si="10"/>
        <v/>
      </c>
      <c r="O90" s="16" t="str">
        <f t="shared" si="11"/>
        <v/>
      </c>
      <c r="P90" s="16">
        <f>SUM($N$2:N90)</f>
        <v>16</v>
      </c>
      <c r="Q90" s="16">
        <f>SUM($O$2:O90)</f>
        <v>11</v>
      </c>
      <c r="R90" s="52" t="str">
        <f t="shared" si="12"/>
        <v/>
      </c>
      <c r="S90" s="53" t="str">
        <f t="shared" si="13"/>
        <v/>
      </c>
    </row>
    <row r="91" spans="1:19" x14ac:dyDescent="0.35">
      <c r="A91" s="16">
        <v>1</v>
      </c>
      <c r="B91" s="19">
        <v>90</v>
      </c>
      <c r="C91" s="46">
        <v>2.8009259259259259E-3</v>
      </c>
      <c r="D91" s="16">
        <f t="shared" si="7"/>
        <v>4</v>
      </c>
      <c r="E91" s="16">
        <f t="shared" si="8"/>
        <v>2</v>
      </c>
      <c r="F91" s="19" t="s">
        <v>16</v>
      </c>
      <c r="G91" s="16" t="s">
        <v>45</v>
      </c>
      <c r="H91" s="16" t="str">
        <f>_xlfn.XLOOKUP(G91,'1-Players'!$A$2:$A$27,'1-Players'!$D$2:$D$27,"")</f>
        <v>Gyorgy Golomán</v>
      </c>
      <c r="I91" s="19" t="s">
        <v>82</v>
      </c>
      <c r="J91" s="19" t="s">
        <v>60</v>
      </c>
      <c r="K91" s="16" cm="1">
        <f t="array" ref="K91">IFERROR(_xlfn.IFS(I91="Free Throw",1,I91="2-Point Shot",2,I91="Dunk",2,I91="3-Point Shot",3),"")</f>
        <v>2</v>
      </c>
      <c r="L91" s="16" cm="1">
        <f t="array" ref="L91">IFERROR(_xlfn.IFS(J91="Made",1,J91="Missed",0),"")</f>
        <v>1</v>
      </c>
      <c r="M91" s="16">
        <f t="shared" si="9"/>
        <v>2</v>
      </c>
      <c r="N91" s="16" t="str">
        <f t="shared" si="10"/>
        <v/>
      </c>
      <c r="O91" s="16">
        <f t="shared" si="11"/>
        <v>2</v>
      </c>
      <c r="P91" s="16">
        <f>SUM($N$2:N91)</f>
        <v>16</v>
      </c>
      <c r="Q91" s="16">
        <f>SUM($O$2:O91)</f>
        <v>13</v>
      </c>
      <c r="R91" s="52" t="str">
        <f t="shared" si="12"/>
        <v>MAN 16 - 13 LLE</v>
      </c>
      <c r="S91" s="53">
        <f t="shared" si="13"/>
        <v>2.8009259259259259E-3</v>
      </c>
    </row>
    <row r="92" spans="1:19" x14ac:dyDescent="0.35">
      <c r="A92" s="19">
        <v>1</v>
      </c>
      <c r="B92" s="19">
        <v>91</v>
      </c>
      <c r="C92" s="46">
        <v>2.8009259259259259E-3</v>
      </c>
      <c r="D92" s="16">
        <f t="shared" si="7"/>
        <v>4</v>
      </c>
      <c r="E92" s="16">
        <f t="shared" si="8"/>
        <v>2</v>
      </c>
      <c r="F92" s="19" t="s">
        <v>16</v>
      </c>
      <c r="G92" s="16" t="s">
        <v>41</v>
      </c>
      <c r="H92" s="16" t="str">
        <f>_xlfn.XLOOKUP(G92,'1-Players'!$A$2:$A$27,'1-Players'!$D$2:$D$27,"")</f>
        <v>John Shurna</v>
      </c>
      <c r="I92" s="19" t="s">
        <v>61</v>
      </c>
      <c r="K92" s="16" t="str" cm="1">
        <f t="array" ref="K92">IFERROR(_xlfn.IFS(I92="Free Throw",1,I92="2-Point Shot",2,I92="Dunk",2,I92="3-Point Shot",3),"")</f>
        <v/>
      </c>
      <c r="L92" s="16" t="str" cm="1">
        <f t="array" ref="L92">IFERROR(_xlfn.IFS(J92="Made",1,J92="Missed",0),"")</f>
        <v/>
      </c>
      <c r="M92" s="16" t="str">
        <f t="shared" si="9"/>
        <v/>
      </c>
      <c r="N92" s="16" t="str">
        <f t="shared" si="10"/>
        <v/>
      </c>
      <c r="O92" s="16" t="str">
        <f t="shared" si="11"/>
        <v/>
      </c>
      <c r="P92" s="16">
        <f>SUM($N$2:N92)</f>
        <v>16</v>
      </c>
      <c r="Q92" s="16">
        <f>SUM($O$2:O92)</f>
        <v>13</v>
      </c>
      <c r="R92" s="52" t="str">
        <f t="shared" si="12"/>
        <v/>
      </c>
      <c r="S92" s="53" t="str">
        <f t="shared" si="13"/>
        <v/>
      </c>
    </row>
    <row r="93" spans="1:19" x14ac:dyDescent="0.35">
      <c r="A93" s="16">
        <v>1</v>
      </c>
      <c r="B93" s="19">
        <v>92</v>
      </c>
      <c r="C93" s="46">
        <v>2.8009259259259259E-3</v>
      </c>
      <c r="D93" s="16">
        <f t="shared" si="7"/>
        <v>4</v>
      </c>
      <c r="E93" s="16">
        <f t="shared" si="8"/>
        <v>2</v>
      </c>
      <c r="F93" s="19" t="s">
        <v>46</v>
      </c>
      <c r="G93" s="16" t="s">
        <v>27</v>
      </c>
      <c r="H93" s="16" t="str">
        <f>_xlfn.XLOOKUP(G93,'1-Players'!$A$2:$A$27,'1-Players'!$D$2:$D$27,"")</f>
        <v>Kaodirichi Akobundu</v>
      </c>
      <c r="I93" s="19" t="s">
        <v>106</v>
      </c>
      <c r="K93" s="16" t="str" cm="1">
        <f t="array" ref="K93">IFERROR(_xlfn.IFS(I93="Free Throw",1,I93="2-Point Shot",2,I93="Dunk",2,I93="3-Point Shot",3),"")</f>
        <v/>
      </c>
      <c r="L93" s="16" t="str" cm="1">
        <f t="array" ref="L93">IFERROR(_xlfn.IFS(J93="Made",1,J93="Missed",0),"")</f>
        <v/>
      </c>
      <c r="M93" s="16" t="str">
        <f t="shared" si="9"/>
        <v/>
      </c>
      <c r="N93" s="16" t="str">
        <f t="shared" si="10"/>
        <v/>
      </c>
      <c r="O93" s="16" t="str">
        <f t="shared" si="11"/>
        <v/>
      </c>
      <c r="P93" s="16">
        <f>SUM($N$2:N93)</f>
        <v>16</v>
      </c>
      <c r="Q93" s="16">
        <f>SUM($O$2:O93)</f>
        <v>13</v>
      </c>
      <c r="R93" s="52" t="str">
        <f t="shared" si="12"/>
        <v/>
      </c>
      <c r="S93" s="53" t="str">
        <f t="shared" si="13"/>
        <v/>
      </c>
    </row>
    <row r="94" spans="1:19" x14ac:dyDescent="0.35">
      <c r="A94" s="16">
        <v>1</v>
      </c>
      <c r="B94" s="19">
        <v>93</v>
      </c>
      <c r="C94" s="46">
        <v>2.8009259259259259E-3</v>
      </c>
      <c r="D94" s="16">
        <f t="shared" si="7"/>
        <v>4</v>
      </c>
      <c r="E94" s="16">
        <f t="shared" si="8"/>
        <v>2</v>
      </c>
      <c r="F94" s="19" t="s">
        <v>16</v>
      </c>
      <c r="G94" s="16" t="s">
        <v>45</v>
      </c>
      <c r="H94" s="16" t="str">
        <f>_xlfn.XLOOKUP(G94,'1-Players'!$A$2:$A$27,'1-Players'!$D$2:$D$27,"")</f>
        <v>Gyorgy Golomán</v>
      </c>
      <c r="I94" s="19" t="s">
        <v>108</v>
      </c>
      <c r="K94" s="16" t="str" cm="1">
        <f t="array" ref="K94">IFERROR(_xlfn.IFS(I94="Free Throw",1,I94="2-Point Shot",2,I94="Dunk",2,I94="3-Point Shot",3),"")</f>
        <v/>
      </c>
      <c r="L94" s="16" t="str" cm="1">
        <f t="array" ref="L94">IFERROR(_xlfn.IFS(J94="Made",1,J94="Missed",0),"")</f>
        <v/>
      </c>
      <c r="M94" s="16" t="str">
        <f t="shared" si="9"/>
        <v/>
      </c>
      <c r="N94" s="16" t="str">
        <f t="shared" si="10"/>
        <v/>
      </c>
      <c r="O94" s="16" t="str">
        <f t="shared" si="11"/>
        <v/>
      </c>
      <c r="P94" s="16">
        <f>SUM($N$2:N94)</f>
        <v>16</v>
      </c>
      <c r="Q94" s="16">
        <f>SUM($O$2:O94)</f>
        <v>13</v>
      </c>
      <c r="R94" s="52" t="str">
        <f t="shared" si="12"/>
        <v/>
      </c>
      <c r="S94" s="53" t="str">
        <f t="shared" si="13"/>
        <v/>
      </c>
    </row>
    <row r="95" spans="1:19" x14ac:dyDescent="0.35">
      <c r="A95" s="19">
        <v>1</v>
      </c>
      <c r="B95" s="19">
        <v>94</v>
      </c>
      <c r="C95" s="46">
        <v>2.8009259259259259E-3</v>
      </c>
      <c r="D95" s="16">
        <f t="shared" si="7"/>
        <v>4</v>
      </c>
      <c r="E95" s="16">
        <f t="shared" si="8"/>
        <v>2</v>
      </c>
      <c r="F95" s="19" t="s">
        <v>16</v>
      </c>
      <c r="G95" s="16" t="s">
        <v>45</v>
      </c>
      <c r="H95" s="16" t="str">
        <f>_xlfn.XLOOKUP(G95,'1-Players'!$A$2:$A$27,'1-Players'!$D$2:$D$27,"")</f>
        <v>Gyorgy Golomán</v>
      </c>
      <c r="I95" s="19" t="s">
        <v>85</v>
      </c>
      <c r="J95" s="19" t="s">
        <v>60</v>
      </c>
      <c r="K95" s="16" cm="1">
        <f t="array" ref="K95">IFERROR(_xlfn.IFS(I95="Free Throw",1,I95="2-Point Shot",2,I95="Dunk",2,I95="3-Point Shot",3),"")</f>
        <v>1</v>
      </c>
      <c r="L95" s="16" cm="1">
        <f t="array" ref="L95">IFERROR(_xlfn.IFS(J95="Made",1,J95="Missed",0),"")</f>
        <v>1</v>
      </c>
      <c r="M95" s="16">
        <f t="shared" si="9"/>
        <v>1</v>
      </c>
      <c r="N95" s="16" t="str">
        <f t="shared" si="10"/>
        <v/>
      </c>
      <c r="O95" s="16">
        <f t="shared" si="11"/>
        <v>1</v>
      </c>
      <c r="P95" s="16">
        <f>SUM($N$2:N95)</f>
        <v>16</v>
      </c>
      <c r="Q95" s="16">
        <f>SUM($O$2:O95)</f>
        <v>14</v>
      </c>
      <c r="R95" s="52" t="str">
        <f t="shared" si="12"/>
        <v>MAN 16 - 14 LLE</v>
      </c>
      <c r="S95" s="53">
        <f t="shared" si="13"/>
        <v>2.8009259259259259E-3</v>
      </c>
    </row>
    <row r="96" spans="1:19" x14ac:dyDescent="0.35">
      <c r="A96" s="16">
        <v>1</v>
      </c>
      <c r="B96" s="19">
        <v>95</v>
      </c>
      <c r="C96" s="46">
        <v>2.7893518518518519E-3</v>
      </c>
      <c r="D96" s="16">
        <f t="shared" si="7"/>
        <v>4</v>
      </c>
      <c r="E96" s="16">
        <f t="shared" si="8"/>
        <v>1</v>
      </c>
      <c r="F96" s="19" t="s">
        <v>46</v>
      </c>
      <c r="G96" s="16" t="s">
        <v>9</v>
      </c>
      <c r="H96" s="16" t="str">
        <f>_xlfn.XLOOKUP(G96,'1-Players'!$A$2:$A$27,'1-Players'!$D$2:$D$27,"")</f>
        <v>Agustín Ubal</v>
      </c>
      <c r="I96" s="19" t="s">
        <v>112</v>
      </c>
      <c r="J96" s="19" t="s">
        <v>113</v>
      </c>
      <c r="K96" s="16" t="str" cm="1">
        <f t="array" ref="K96">IFERROR(_xlfn.IFS(I96="Free Throw",1,I96="2-Point Shot",2,I96="Dunk",2,I96="3-Point Shot",3),"")</f>
        <v/>
      </c>
      <c r="L96" s="16" t="str" cm="1">
        <f t="array" ref="L96">IFERROR(_xlfn.IFS(J96="Made",1,J96="Missed",0),"")</f>
        <v/>
      </c>
      <c r="M96" s="16" t="str">
        <f t="shared" si="9"/>
        <v/>
      </c>
      <c r="N96" s="16" t="str">
        <f t="shared" si="10"/>
        <v/>
      </c>
      <c r="O96" s="16" t="str">
        <f t="shared" si="11"/>
        <v/>
      </c>
      <c r="P96" s="16">
        <f>SUM($N$2:N96)</f>
        <v>16</v>
      </c>
      <c r="Q96" s="16">
        <f>SUM($O$2:O96)</f>
        <v>14</v>
      </c>
      <c r="R96" s="52" t="str">
        <f t="shared" si="12"/>
        <v/>
      </c>
      <c r="S96" s="53" t="str">
        <f t="shared" si="13"/>
        <v/>
      </c>
    </row>
    <row r="97" spans="1:19" x14ac:dyDescent="0.35">
      <c r="A97" s="16">
        <v>1</v>
      </c>
      <c r="B97" s="19">
        <v>96</v>
      </c>
      <c r="C97" s="46">
        <v>2.7893518518518519E-3</v>
      </c>
      <c r="D97" s="16">
        <f t="shared" si="7"/>
        <v>4</v>
      </c>
      <c r="E97" s="16">
        <f t="shared" si="8"/>
        <v>1</v>
      </c>
      <c r="F97" s="19" t="s">
        <v>16</v>
      </c>
      <c r="G97" s="16" t="s">
        <v>39</v>
      </c>
      <c r="H97" s="16" t="str">
        <f>_xlfn.XLOOKUP(G97,'1-Players'!$A$2:$A$27,'1-Players'!$D$2:$D$27,"")</f>
        <v>Millán Jiménez</v>
      </c>
      <c r="I97" s="19" t="s">
        <v>115</v>
      </c>
      <c r="K97" s="16" t="str" cm="1">
        <f t="array" ref="K97">IFERROR(_xlfn.IFS(I97="Free Throw",1,I97="2-Point Shot",2,I97="Dunk",2,I97="3-Point Shot",3),"")</f>
        <v/>
      </c>
      <c r="L97" s="16" t="str" cm="1">
        <f t="array" ref="L97">IFERROR(_xlfn.IFS(J97="Made",1,J97="Missed",0),"")</f>
        <v/>
      </c>
      <c r="M97" s="16" t="str">
        <f t="shared" si="9"/>
        <v/>
      </c>
      <c r="N97" s="16" t="str">
        <f t="shared" si="10"/>
        <v/>
      </c>
      <c r="O97" s="16" t="str">
        <f t="shared" si="11"/>
        <v/>
      </c>
      <c r="P97" s="16">
        <f>SUM($N$2:N97)</f>
        <v>16</v>
      </c>
      <c r="Q97" s="16">
        <f>SUM($O$2:O97)</f>
        <v>14</v>
      </c>
      <c r="R97" s="52" t="str">
        <f t="shared" si="12"/>
        <v/>
      </c>
      <c r="S97" s="53" t="str">
        <f t="shared" si="13"/>
        <v/>
      </c>
    </row>
    <row r="98" spans="1:19" x14ac:dyDescent="0.35">
      <c r="A98" s="19">
        <v>1</v>
      </c>
      <c r="B98" s="19">
        <v>97</v>
      </c>
      <c r="C98" s="46">
        <v>2.7546296296296294E-3</v>
      </c>
      <c r="D98" s="16">
        <f t="shared" si="7"/>
        <v>3</v>
      </c>
      <c r="E98" s="16">
        <f t="shared" si="8"/>
        <v>58</v>
      </c>
      <c r="F98" s="19" t="s">
        <v>16</v>
      </c>
      <c r="G98" s="16" t="s">
        <v>18</v>
      </c>
      <c r="H98" s="16" t="str">
        <f>_xlfn.XLOOKUP(G98,'1-Players'!$A$2:$A$27,'1-Players'!$D$2:$D$27,"")</f>
        <v>Corey Walden</v>
      </c>
      <c r="I98" s="19" t="s">
        <v>83</v>
      </c>
      <c r="J98" s="19" t="s">
        <v>63</v>
      </c>
      <c r="K98" s="16" cm="1">
        <f t="array" ref="K98">IFERROR(_xlfn.IFS(I98="Free Throw",1,I98="2-Point Shot",2,I98="Dunk",2,I98="3-Point Shot",3),"")</f>
        <v>3</v>
      </c>
      <c r="L98" s="16" cm="1">
        <f t="array" ref="L98">IFERROR(_xlfn.IFS(J98="Made",1,J98="Missed",0),"")</f>
        <v>0</v>
      </c>
      <c r="M98" s="16">
        <f t="shared" si="9"/>
        <v>0</v>
      </c>
      <c r="N98" s="16" t="str">
        <f t="shared" si="10"/>
        <v/>
      </c>
      <c r="O98" s="16" t="str">
        <f t="shared" si="11"/>
        <v/>
      </c>
      <c r="P98" s="16">
        <f>SUM($N$2:N98)</f>
        <v>16</v>
      </c>
      <c r="Q98" s="16">
        <f>SUM($O$2:O98)</f>
        <v>14</v>
      </c>
      <c r="R98" s="52" t="str">
        <f t="shared" si="12"/>
        <v/>
      </c>
      <c r="S98" s="53" t="str">
        <f t="shared" si="13"/>
        <v/>
      </c>
    </row>
    <row r="99" spans="1:19" x14ac:dyDescent="0.35">
      <c r="A99" s="16">
        <v>1</v>
      </c>
      <c r="B99" s="19">
        <v>98</v>
      </c>
      <c r="C99" s="46">
        <v>2.7546296296296294E-3</v>
      </c>
      <c r="D99" s="16">
        <f t="shared" si="7"/>
        <v>3</v>
      </c>
      <c r="E99" s="16">
        <f t="shared" si="8"/>
        <v>58</v>
      </c>
      <c r="F99" s="19" t="s">
        <v>46</v>
      </c>
      <c r="G99" s="16" t="s">
        <v>70</v>
      </c>
      <c r="H99" s="16" t="str">
        <f>_xlfn.XLOOKUP(G99,'1-Players'!$A$2:$A$27,'1-Players'!$D$2:$D$27,"")</f>
        <v>Louis Olinde</v>
      </c>
      <c r="I99" s="19" t="s">
        <v>84</v>
      </c>
      <c r="K99" s="16" t="str" cm="1">
        <f t="array" ref="K99">IFERROR(_xlfn.IFS(I99="Free Throw",1,I99="2-Point Shot",2,I99="Dunk",2,I99="3-Point Shot",3),"")</f>
        <v/>
      </c>
      <c r="L99" s="16" t="str" cm="1">
        <f t="array" ref="L99">IFERROR(_xlfn.IFS(J99="Made",1,J99="Missed",0),"")</f>
        <v/>
      </c>
      <c r="M99" s="16" t="str">
        <f t="shared" si="9"/>
        <v/>
      </c>
      <c r="N99" s="16" t="str">
        <f t="shared" si="10"/>
        <v/>
      </c>
      <c r="O99" s="16" t="str">
        <f t="shared" si="11"/>
        <v/>
      </c>
      <c r="P99" s="16">
        <f>SUM($N$2:N99)</f>
        <v>16</v>
      </c>
      <c r="Q99" s="16">
        <f>SUM($O$2:O99)</f>
        <v>14</v>
      </c>
      <c r="R99" s="52" t="str">
        <f t="shared" si="12"/>
        <v/>
      </c>
      <c r="S99" s="53" t="str">
        <f t="shared" si="13"/>
        <v/>
      </c>
    </row>
    <row r="100" spans="1:19" x14ac:dyDescent="0.35">
      <c r="A100" s="16">
        <v>1</v>
      </c>
      <c r="B100" s="19">
        <v>99</v>
      </c>
      <c r="C100" s="46">
        <v>2.7083333333333334E-3</v>
      </c>
      <c r="D100" s="16">
        <f t="shared" si="7"/>
        <v>3</v>
      </c>
      <c r="E100" s="16">
        <f t="shared" si="8"/>
        <v>54</v>
      </c>
      <c r="F100" s="19" t="s">
        <v>46</v>
      </c>
      <c r="G100" s="16" t="s">
        <v>70</v>
      </c>
      <c r="H100" s="16" t="str">
        <f>_xlfn.XLOOKUP(G100,'1-Players'!$A$2:$A$27,'1-Players'!$D$2:$D$27,"")</f>
        <v>Louis Olinde</v>
      </c>
      <c r="I100" s="19" t="s">
        <v>112</v>
      </c>
      <c r="J100" s="19" t="s">
        <v>117</v>
      </c>
      <c r="K100" s="16" t="str" cm="1">
        <f t="array" ref="K100">IFERROR(_xlfn.IFS(I100="Free Throw",1,I100="2-Point Shot",2,I100="Dunk",2,I100="3-Point Shot",3),"")</f>
        <v/>
      </c>
      <c r="L100" s="16" t="str" cm="1">
        <f t="array" ref="L100">IFERROR(_xlfn.IFS(J100="Made",1,J100="Missed",0),"")</f>
        <v/>
      </c>
      <c r="M100" s="16" t="str">
        <f t="shared" si="9"/>
        <v/>
      </c>
      <c r="N100" s="16" t="str">
        <f t="shared" si="10"/>
        <v/>
      </c>
      <c r="O100" s="16" t="str">
        <f t="shared" si="11"/>
        <v/>
      </c>
      <c r="P100" s="16">
        <f>SUM($N$2:N100)</f>
        <v>16</v>
      </c>
      <c r="Q100" s="16">
        <f>SUM($O$2:O100)</f>
        <v>14</v>
      </c>
      <c r="R100" s="52" t="str">
        <f t="shared" si="12"/>
        <v/>
      </c>
      <c r="S100" s="53" t="str">
        <f t="shared" si="13"/>
        <v/>
      </c>
    </row>
    <row r="101" spans="1:19" x14ac:dyDescent="0.35">
      <c r="A101" s="19">
        <v>1</v>
      </c>
      <c r="B101" s="19">
        <v>100</v>
      </c>
      <c r="C101" s="46">
        <v>2.7083333333333334E-3</v>
      </c>
      <c r="D101" s="16">
        <f t="shared" si="7"/>
        <v>3</v>
      </c>
      <c r="E101" s="16">
        <f t="shared" si="8"/>
        <v>54</v>
      </c>
      <c r="F101" s="19" t="s">
        <v>16</v>
      </c>
      <c r="G101" s="16" t="s">
        <v>39</v>
      </c>
      <c r="H101" s="16" t="str">
        <f>_xlfn.XLOOKUP(G101,'1-Players'!$A$2:$A$27,'1-Players'!$D$2:$D$27,"")</f>
        <v>Millán Jiménez</v>
      </c>
      <c r="I101" s="19" t="s">
        <v>115</v>
      </c>
      <c r="K101" s="16" t="str" cm="1">
        <f t="array" ref="K101">IFERROR(_xlfn.IFS(I101="Free Throw",1,I101="2-Point Shot",2,I101="Dunk",2,I101="3-Point Shot",3),"")</f>
        <v/>
      </c>
      <c r="L101" s="16" t="str" cm="1">
        <f t="array" ref="L101">IFERROR(_xlfn.IFS(J101="Made",1,J101="Missed",0),"")</f>
        <v/>
      </c>
      <c r="M101" s="16" t="str">
        <f t="shared" si="9"/>
        <v/>
      </c>
      <c r="N101" s="16" t="str">
        <f t="shared" si="10"/>
        <v/>
      </c>
      <c r="O101" s="16" t="str">
        <f t="shared" si="11"/>
        <v/>
      </c>
      <c r="P101" s="16">
        <f>SUM($N$2:N101)</f>
        <v>16</v>
      </c>
      <c r="Q101" s="16">
        <f>SUM($O$2:O101)</f>
        <v>14</v>
      </c>
      <c r="R101" s="52" t="str">
        <f t="shared" si="12"/>
        <v/>
      </c>
      <c r="S101" s="53" t="str">
        <f t="shared" si="13"/>
        <v/>
      </c>
    </row>
    <row r="102" spans="1:19" x14ac:dyDescent="0.35">
      <c r="A102" s="16">
        <v>1</v>
      </c>
      <c r="B102" s="19">
        <v>101</v>
      </c>
      <c r="C102" s="46">
        <v>2.5925925925925925E-3</v>
      </c>
      <c r="D102" s="16">
        <f t="shared" si="7"/>
        <v>3</v>
      </c>
      <c r="E102" s="16">
        <f t="shared" si="8"/>
        <v>44</v>
      </c>
      <c r="F102" s="19" t="s">
        <v>16</v>
      </c>
      <c r="G102" s="16" t="s">
        <v>45</v>
      </c>
      <c r="H102" s="16" t="str">
        <f>_xlfn.XLOOKUP(G102,'1-Players'!$A$2:$A$27,'1-Players'!$D$2:$D$27,"")</f>
        <v>Gyorgy Golomán</v>
      </c>
      <c r="I102" s="19" t="s">
        <v>82</v>
      </c>
      <c r="J102" s="19" t="s">
        <v>60</v>
      </c>
      <c r="K102" s="16" cm="1">
        <f t="array" ref="K102">IFERROR(_xlfn.IFS(I102="Free Throw",1,I102="2-Point Shot",2,I102="Dunk",2,I102="3-Point Shot",3),"")</f>
        <v>2</v>
      </c>
      <c r="L102" s="16" cm="1">
        <f t="array" ref="L102">IFERROR(_xlfn.IFS(J102="Made",1,J102="Missed",0),"")</f>
        <v>1</v>
      </c>
      <c r="M102" s="16">
        <f t="shared" si="9"/>
        <v>2</v>
      </c>
      <c r="N102" s="16" t="str">
        <f t="shared" si="10"/>
        <v/>
      </c>
      <c r="O102" s="16">
        <f t="shared" si="11"/>
        <v>2</v>
      </c>
      <c r="P102" s="16">
        <f>SUM($N$2:N102)</f>
        <v>16</v>
      </c>
      <c r="Q102" s="16">
        <f>SUM($O$2:O102)</f>
        <v>16</v>
      </c>
      <c r="R102" s="52" t="str">
        <f t="shared" si="12"/>
        <v>MAN 16 - 16 LLE</v>
      </c>
      <c r="S102" s="53">
        <f t="shared" si="13"/>
        <v>2.5925925925925925E-3</v>
      </c>
    </row>
    <row r="103" spans="1:19" x14ac:dyDescent="0.35">
      <c r="A103" s="16">
        <v>1</v>
      </c>
      <c r="B103" s="19">
        <v>102</v>
      </c>
      <c r="C103" s="46">
        <v>2.5925925925925925E-3</v>
      </c>
      <c r="D103" s="16">
        <f t="shared" si="7"/>
        <v>3</v>
      </c>
      <c r="E103" s="16">
        <f t="shared" si="8"/>
        <v>44</v>
      </c>
      <c r="F103" s="19" t="s">
        <v>16</v>
      </c>
      <c r="G103" s="16" t="s">
        <v>18</v>
      </c>
      <c r="H103" s="16" t="str">
        <f>_xlfn.XLOOKUP(G103,'1-Players'!$A$2:$A$27,'1-Players'!$D$2:$D$27,"")</f>
        <v>Corey Walden</v>
      </c>
      <c r="I103" s="19" t="s">
        <v>61</v>
      </c>
      <c r="K103" s="16" t="str" cm="1">
        <f t="array" ref="K103">IFERROR(_xlfn.IFS(I103="Free Throw",1,I103="2-Point Shot",2,I103="Dunk",2,I103="3-Point Shot",3),"")</f>
        <v/>
      </c>
      <c r="L103" s="16" t="str" cm="1">
        <f t="array" ref="L103">IFERROR(_xlfn.IFS(J103="Made",1,J103="Missed",0),"")</f>
        <v/>
      </c>
      <c r="M103" s="16" t="str">
        <f t="shared" si="9"/>
        <v/>
      </c>
      <c r="N103" s="16" t="str">
        <f t="shared" si="10"/>
        <v/>
      </c>
      <c r="O103" s="16" t="str">
        <f t="shared" si="11"/>
        <v/>
      </c>
      <c r="P103" s="16">
        <f>SUM($N$2:N103)</f>
        <v>16</v>
      </c>
      <c r="Q103" s="16">
        <f>SUM($O$2:O103)</f>
        <v>16</v>
      </c>
      <c r="R103" s="52" t="str">
        <f t="shared" si="12"/>
        <v/>
      </c>
      <c r="S103" s="53" t="str">
        <f t="shared" si="13"/>
        <v/>
      </c>
    </row>
    <row r="104" spans="1:19" x14ac:dyDescent="0.35">
      <c r="A104" s="19">
        <v>1</v>
      </c>
      <c r="B104" s="19">
        <v>103</v>
      </c>
      <c r="C104" s="46">
        <v>2.5925925925925925E-3</v>
      </c>
      <c r="D104" s="16">
        <f t="shared" si="7"/>
        <v>3</v>
      </c>
      <c r="E104" s="16">
        <f t="shared" si="8"/>
        <v>44</v>
      </c>
      <c r="F104" s="19" t="s">
        <v>46</v>
      </c>
      <c r="G104" s="16" t="s">
        <v>27</v>
      </c>
      <c r="H104" s="16" t="str">
        <f>_xlfn.XLOOKUP(G104,'1-Players'!$A$2:$A$27,'1-Players'!$D$2:$D$27,"")</f>
        <v>Kaodirichi Akobundu</v>
      </c>
      <c r="I104" s="19" t="s">
        <v>106</v>
      </c>
      <c r="J104" s="19" t="s">
        <v>118</v>
      </c>
      <c r="K104" s="16" t="str" cm="1">
        <f t="array" ref="K104">IFERROR(_xlfn.IFS(I104="Free Throw",1,I104="2-Point Shot",2,I104="Dunk",2,I104="3-Point Shot",3),"")</f>
        <v/>
      </c>
      <c r="L104" s="16" t="str" cm="1">
        <f t="array" ref="L104">IFERROR(_xlfn.IFS(J104="Made",1,J104="Missed",0),"")</f>
        <v/>
      </c>
      <c r="M104" s="16" t="str">
        <f t="shared" si="9"/>
        <v/>
      </c>
      <c r="N104" s="16" t="str">
        <f t="shared" si="10"/>
        <v/>
      </c>
      <c r="O104" s="16" t="str">
        <f t="shared" si="11"/>
        <v/>
      </c>
      <c r="P104" s="16">
        <f>SUM($N$2:N104)</f>
        <v>16</v>
      </c>
      <c r="Q104" s="16">
        <f>SUM($O$2:O104)</f>
        <v>16</v>
      </c>
      <c r="R104" s="52" t="str">
        <f t="shared" si="12"/>
        <v/>
      </c>
      <c r="S104" s="53" t="str">
        <f t="shared" si="13"/>
        <v/>
      </c>
    </row>
    <row r="105" spans="1:19" x14ac:dyDescent="0.35">
      <c r="A105" s="16">
        <v>1</v>
      </c>
      <c r="B105" s="19">
        <v>104</v>
      </c>
      <c r="C105" s="46">
        <v>2.5925925925925925E-3</v>
      </c>
      <c r="D105" s="16">
        <f t="shared" si="7"/>
        <v>3</v>
      </c>
      <c r="E105" s="16">
        <f t="shared" si="8"/>
        <v>44</v>
      </c>
      <c r="F105" s="19" t="s">
        <v>16</v>
      </c>
      <c r="G105" s="16" t="s">
        <v>45</v>
      </c>
      <c r="H105" s="16" t="str">
        <f>_xlfn.XLOOKUP(G105,'1-Players'!$A$2:$A$27,'1-Players'!$D$2:$D$27,"")</f>
        <v>Gyorgy Golomán</v>
      </c>
      <c r="I105" s="19" t="s">
        <v>108</v>
      </c>
      <c r="K105" s="16" t="str" cm="1">
        <f t="array" ref="K105">IFERROR(_xlfn.IFS(I105="Free Throw",1,I105="2-Point Shot",2,I105="Dunk",2,I105="3-Point Shot",3),"")</f>
        <v/>
      </c>
      <c r="L105" s="16" t="str" cm="1">
        <f t="array" ref="L105">IFERROR(_xlfn.IFS(J105="Made",1,J105="Missed",0),"")</f>
        <v/>
      </c>
      <c r="M105" s="16" t="str">
        <f t="shared" si="9"/>
        <v/>
      </c>
      <c r="N105" s="16" t="str">
        <f t="shared" si="10"/>
        <v/>
      </c>
      <c r="O105" s="16" t="str">
        <f t="shared" si="11"/>
        <v/>
      </c>
      <c r="P105" s="16">
        <f>SUM($N$2:N105)</f>
        <v>16</v>
      </c>
      <c r="Q105" s="16">
        <f>SUM($O$2:O105)</f>
        <v>16</v>
      </c>
      <c r="R105" s="52" t="str">
        <f t="shared" si="12"/>
        <v/>
      </c>
      <c r="S105" s="53" t="str">
        <f t="shared" si="13"/>
        <v/>
      </c>
    </row>
    <row r="106" spans="1:19" x14ac:dyDescent="0.35">
      <c r="A106" s="16">
        <v>1</v>
      </c>
      <c r="B106" s="19">
        <v>105</v>
      </c>
      <c r="C106" s="46">
        <v>2.5925925925925925E-3</v>
      </c>
      <c r="D106" s="16">
        <f t="shared" si="7"/>
        <v>3</v>
      </c>
      <c r="E106" s="16">
        <f t="shared" si="8"/>
        <v>44</v>
      </c>
      <c r="F106" s="19" t="s">
        <v>46</v>
      </c>
      <c r="G106" s="16" t="s">
        <v>120</v>
      </c>
      <c r="H106" s="16" t="str">
        <f>_xlfn.XLOOKUP(G106,'1-Players'!$A$2:$A$27,'1-Players'!$D$2:$D$27,"")</f>
        <v>TEAM - Manresa</v>
      </c>
      <c r="I106" s="19" t="s">
        <v>119</v>
      </c>
      <c r="J106" s="19"/>
      <c r="K106" s="16" t="str" cm="1">
        <f t="array" ref="K106">IFERROR(_xlfn.IFS(I106="Free Throw",1,I106="2-Point Shot",2,I106="Dunk",2,I106="3-Point Shot",3),"")</f>
        <v/>
      </c>
      <c r="L106" s="16" t="str" cm="1">
        <f t="array" ref="L106">IFERROR(_xlfn.IFS(J106="Made",1,J106="Missed",0),"")</f>
        <v/>
      </c>
      <c r="M106" s="16" t="str">
        <f t="shared" si="9"/>
        <v/>
      </c>
      <c r="N106" s="16" t="str">
        <f t="shared" si="10"/>
        <v/>
      </c>
      <c r="O106" s="16" t="str">
        <f t="shared" si="11"/>
        <v/>
      </c>
      <c r="P106" s="16">
        <f>SUM($N$2:N106)</f>
        <v>16</v>
      </c>
      <c r="Q106" s="16">
        <f>SUM($O$2:O106)</f>
        <v>16</v>
      </c>
      <c r="R106" s="52" t="str">
        <f t="shared" si="12"/>
        <v/>
      </c>
      <c r="S106" s="53" t="str">
        <f t="shared" si="13"/>
        <v/>
      </c>
    </row>
    <row r="107" spans="1:19" x14ac:dyDescent="0.35">
      <c r="A107" s="19">
        <v>1</v>
      </c>
      <c r="B107" s="19">
        <v>106</v>
      </c>
      <c r="C107" s="46">
        <v>2.5925925925925925E-3</v>
      </c>
      <c r="D107" s="16">
        <f t="shared" si="7"/>
        <v>3</v>
      </c>
      <c r="E107" s="16">
        <f t="shared" si="8"/>
        <v>44</v>
      </c>
      <c r="F107" s="19" t="s">
        <v>46</v>
      </c>
      <c r="G107" s="16" t="s">
        <v>27</v>
      </c>
      <c r="H107" s="16" t="str">
        <f>_xlfn.XLOOKUP(G107,'1-Players'!$A$2:$A$27,'1-Players'!$D$2:$D$27,"")</f>
        <v>Kaodirichi Akobundu</v>
      </c>
      <c r="I107" s="19" t="s">
        <v>110</v>
      </c>
      <c r="K107" s="16" t="str" cm="1">
        <f t="array" ref="K107">IFERROR(_xlfn.IFS(I107="Free Throw",1,I107="2-Point Shot",2,I107="Dunk",2,I107="3-Point Shot",3),"")</f>
        <v/>
      </c>
      <c r="L107" s="16" t="str" cm="1">
        <f t="array" ref="L107">IFERROR(_xlfn.IFS(J107="Made",1,J107="Missed",0),"")</f>
        <v/>
      </c>
      <c r="M107" s="16" t="str">
        <f t="shared" si="9"/>
        <v/>
      </c>
      <c r="N107" s="16" t="str">
        <f t="shared" si="10"/>
        <v/>
      </c>
      <c r="O107" s="16" t="str">
        <f t="shared" si="11"/>
        <v/>
      </c>
      <c r="P107" s="16">
        <f>SUM($N$2:N107)</f>
        <v>16</v>
      </c>
      <c r="Q107" s="16">
        <f>SUM($O$2:O107)</f>
        <v>16</v>
      </c>
      <c r="R107" s="52" t="str">
        <f t="shared" si="12"/>
        <v/>
      </c>
      <c r="S107" s="53" t="str">
        <f t="shared" si="13"/>
        <v/>
      </c>
    </row>
    <row r="108" spans="1:19" x14ac:dyDescent="0.35">
      <c r="A108" s="16">
        <v>1</v>
      </c>
      <c r="B108" s="19">
        <v>107</v>
      </c>
      <c r="C108" s="46">
        <v>2.5925925925925925E-3</v>
      </c>
      <c r="D108" s="16">
        <f t="shared" si="7"/>
        <v>3</v>
      </c>
      <c r="E108" s="16">
        <f t="shared" si="8"/>
        <v>44</v>
      </c>
      <c r="F108" s="19" t="s">
        <v>46</v>
      </c>
      <c r="G108" s="16" t="s">
        <v>11</v>
      </c>
      <c r="H108" s="16" t="str">
        <f>_xlfn.XLOOKUP(G108,'1-Players'!$A$2:$A$27,'1-Players'!$D$2:$D$27,"")</f>
        <v>Marcis Steinbergs</v>
      </c>
      <c r="I108" s="19" t="s">
        <v>111</v>
      </c>
      <c r="K108" s="16" t="str" cm="1">
        <f t="array" ref="K108">IFERROR(_xlfn.IFS(I108="Free Throw",1,I108="2-Point Shot",2,I108="Dunk",2,I108="3-Point Shot",3),"")</f>
        <v/>
      </c>
      <c r="L108" s="16" t="str" cm="1">
        <f t="array" ref="L108">IFERROR(_xlfn.IFS(J108="Made",1,J108="Missed",0),"")</f>
        <v/>
      </c>
      <c r="M108" s="16" t="str">
        <f t="shared" si="9"/>
        <v/>
      </c>
      <c r="N108" s="16" t="str">
        <f t="shared" si="10"/>
        <v/>
      </c>
      <c r="O108" s="16" t="str">
        <f t="shared" si="11"/>
        <v/>
      </c>
      <c r="P108" s="16">
        <f>SUM($N$2:N108)</f>
        <v>16</v>
      </c>
      <c r="Q108" s="16">
        <f>SUM($O$2:O108)</f>
        <v>16</v>
      </c>
      <c r="R108" s="52" t="str">
        <f t="shared" si="12"/>
        <v/>
      </c>
      <c r="S108" s="53" t="str">
        <f t="shared" si="13"/>
        <v/>
      </c>
    </row>
    <row r="109" spans="1:19" x14ac:dyDescent="0.35">
      <c r="A109" s="16">
        <v>1</v>
      </c>
      <c r="B109" s="19">
        <v>108</v>
      </c>
      <c r="C109" s="46">
        <v>2.5925925925925925E-3</v>
      </c>
      <c r="D109" s="16">
        <f t="shared" si="7"/>
        <v>3</v>
      </c>
      <c r="E109" s="16">
        <f t="shared" si="8"/>
        <v>44</v>
      </c>
      <c r="F109" s="19" t="s">
        <v>16</v>
      </c>
      <c r="G109" s="16" t="s">
        <v>45</v>
      </c>
      <c r="H109" s="16" t="str">
        <f>_xlfn.XLOOKUP(G109,'1-Players'!$A$2:$A$27,'1-Players'!$D$2:$D$27,"")</f>
        <v>Gyorgy Golomán</v>
      </c>
      <c r="I109" s="19" t="s">
        <v>85</v>
      </c>
      <c r="J109" s="19" t="s">
        <v>60</v>
      </c>
      <c r="K109" s="16" cm="1">
        <f t="array" ref="K109">IFERROR(_xlfn.IFS(I109="Free Throw",1,I109="2-Point Shot",2,I109="Dunk",2,I109="3-Point Shot",3),"")</f>
        <v>1</v>
      </c>
      <c r="L109" s="16" cm="1">
        <f t="array" ref="L109">IFERROR(_xlfn.IFS(J109="Made",1,J109="Missed",0),"")</f>
        <v>1</v>
      </c>
      <c r="M109" s="16">
        <f t="shared" si="9"/>
        <v>1</v>
      </c>
      <c r="N109" s="16" t="str">
        <f t="shared" si="10"/>
        <v/>
      </c>
      <c r="O109" s="16">
        <f t="shared" si="11"/>
        <v>1</v>
      </c>
      <c r="P109" s="16">
        <f>SUM($N$2:N109)</f>
        <v>16</v>
      </c>
      <c r="Q109" s="16">
        <f>SUM($O$2:O109)</f>
        <v>17</v>
      </c>
      <c r="R109" s="52" t="str">
        <f t="shared" si="12"/>
        <v>MAN 16 - 17 LLE</v>
      </c>
      <c r="S109" s="53">
        <f t="shared" si="13"/>
        <v>2.5925925925925925E-3</v>
      </c>
    </row>
    <row r="110" spans="1:19" x14ac:dyDescent="0.35">
      <c r="A110" s="19">
        <v>1</v>
      </c>
      <c r="B110" s="19">
        <v>109</v>
      </c>
      <c r="C110" s="46">
        <v>2.4305555555555556E-3</v>
      </c>
      <c r="D110" s="16">
        <f>MINUTE(C110)</f>
        <v>3</v>
      </c>
      <c r="E110" s="16">
        <f t="shared" si="8"/>
        <v>30</v>
      </c>
      <c r="F110" s="19" t="s">
        <v>99</v>
      </c>
      <c r="G110" s="16" t="s">
        <v>68</v>
      </c>
      <c r="H110" s="16" t="str">
        <f>_xlfn.XLOOKUP(G110,'1-Players'!$A$2:$A$27,'1-Players'!$D$2:$D$27,"")</f>
        <v>Dani Pérez</v>
      </c>
      <c r="I110" s="19" t="s">
        <v>83</v>
      </c>
      <c r="J110" s="19" t="s">
        <v>63</v>
      </c>
      <c r="K110" s="16" cm="1">
        <f t="array" ref="K110">IFERROR(_xlfn.IFS(I110="Free Throw",1,I110="2-Point Shot",2,I110="Dunk",2,I110="3-Point Shot",3),"")</f>
        <v>3</v>
      </c>
      <c r="L110" s="16" cm="1">
        <f t="array" ref="L110">IFERROR(_xlfn.IFS(J110="Made",1,J110="Missed",0),"")</f>
        <v>0</v>
      </c>
      <c r="M110" s="16">
        <f t="shared" si="9"/>
        <v>0</v>
      </c>
      <c r="N110" s="16" t="str">
        <f t="shared" si="10"/>
        <v/>
      </c>
      <c r="O110" s="16" t="str">
        <f t="shared" si="11"/>
        <v/>
      </c>
      <c r="P110" s="16">
        <f>SUM($N$2:N110)</f>
        <v>16</v>
      </c>
      <c r="Q110" s="16">
        <f>SUM($O$2:O110)</f>
        <v>17</v>
      </c>
      <c r="R110" s="52" t="str">
        <f t="shared" si="12"/>
        <v/>
      </c>
      <c r="S110" s="53" t="str">
        <f t="shared" si="13"/>
        <v/>
      </c>
    </row>
    <row r="111" spans="1:19" x14ac:dyDescent="0.35">
      <c r="A111" s="16">
        <v>1</v>
      </c>
      <c r="B111" s="19">
        <v>110</v>
      </c>
      <c r="C111" s="46">
        <v>2.4305555555555556E-3</v>
      </c>
      <c r="D111" s="16">
        <f t="shared" ref="D111:D123" si="14">MINUTE(C111)</f>
        <v>3</v>
      </c>
      <c r="E111" s="16">
        <f t="shared" si="8"/>
        <v>30</v>
      </c>
      <c r="F111" s="19" t="s">
        <v>99</v>
      </c>
      <c r="G111" s="16" t="s">
        <v>68</v>
      </c>
      <c r="H111" s="16" t="str">
        <f>_xlfn.XLOOKUP(G111,'1-Players'!$A$2:$A$27,'1-Players'!$D$2:$D$27,"")</f>
        <v>Dani Pérez</v>
      </c>
      <c r="I111" s="19" t="s">
        <v>109</v>
      </c>
      <c r="K111" s="16" t="str" cm="1">
        <f t="array" ref="K111">IFERROR(_xlfn.IFS(I111="Free Throw",1,I111="2-Point Shot",2,I111="Dunk",2,I111="3-Point Shot",3),"")</f>
        <v/>
      </c>
      <c r="L111" s="16" t="str" cm="1">
        <f t="array" ref="L111">IFERROR(_xlfn.IFS(J111="Made",1,J111="Missed",0),"")</f>
        <v/>
      </c>
      <c r="M111" s="16" t="str">
        <f t="shared" si="9"/>
        <v/>
      </c>
      <c r="N111" s="16" t="str">
        <f t="shared" si="10"/>
        <v/>
      </c>
      <c r="O111" s="16" t="str">
        <f t="shared" si="11"/>
        <v/>
      </c>
      <c r="P111" s="16">
        <f>SUM($N$2:N111)</f>
        <v>16</v>
      </c>
      <c r="Q111" s="16">
        <f>SUM($O$2:O111)</f>
        <v>17</v>
      </c>
      <c r="R111" s="52" t="str">
        <f t="shared" si="12"/>
        <v/>
      </c>
      <c r="S111" s="53" t="str">
        <f t="shared" si="13"/>
        <v/>
      </c>
    </row>
    <row r="112" spans="1:19" x14ac:dyDescent="0.35">
      <c r="A112" s="16">
        <v>1</v>
      </c>
      <c r="B112" s="19">
        <v>111</v>
      </c>
      <c r="C112" s="46">
        <v>2.3379629629629631E-3</v>
      </c>
      <c r="D112" s="16">
        <f t="shared" si="14"/>
        <v>3</v>
      </c>
      <c r="E112" s="16">
        <f t="shared" si="8"/>
        <v>22</v>
      </c>
      <c r="F112" s="19" t="s">
        <v>99</v>
      </c>
      <c r="G112" s="16" t="s">
        <v>11</v>
      </c>
      <c r="H112" s="16" t="str">
        <f>_xlfn.XLOOKUP(G112,'1-Players'!$A$2:$A$27,'1-Players'!$D$2:$D$27,"")</f>
        <v>Marcis Steinbergs</v>
      </c>
      <c r="I112" s="19" t="s">
        <v>83</v>
      </c>
      <c r="J112" s="19" t="s">
        <v>63</v>
      </c>
      <c r="K112" s="16" cm="1">
        <f t="array" ref="K112">IFERROR(_xlfn.IFS(I112="Free Throw",1,I112="2-Point Shot",2,I112="Dunk",2,I112="3-Point Shot",3),"")</f>
        <v>3</v>
      </c>
      <c r="L112" s="16" cm="1">
        <f t="array" ref="L112">IFERROR(_xlfn.IFS(J112="Made",1,J112="Missed",0),"")</f>
        <v>0</v>
      </c>
      <c r="M112" s="16">
        <f t="shared" si="9"/>
        <v>0</v>
      </c>
      <c r="N112" s="16" t="str">
        <f t="shared" si="10"/>
        <v/>
      </c>
      <c r="O112" s="16" t="str">
        <f t="shared" si="11"/>
        <v/>
      </c>
      <c r="P112" s="16">
        <f>SUM($N$2:N112)</f>
        <v>16</v>
      </c>
      <c r="Q112" s="16">
        <f>SUM($O$2:O112)</f>
        <v>17</v>
      </c>
      <c r="R112" s="52" t="str">
        <f t="shared" si="12"/>
        <v/>
      </c>
      <c r="S112" s="53" t="str">
        <f t="shared" si="13"/>
        <v/>
      </c>
    </row>
    <row r="113" spans="1:19" x14ac:dyDescent="0.35">
      <c r="A113" s="19">
        <v>1</v>
      </c>
      <c r="B113" s="19">
        <v>112</v>
      </c>
      <c r="C113" s="46">
        <v>2.3379629629629631E-3</v>
      </c>
      <c r="D113" s="16">
        <f t="shared" si="14"/>
        <v>3</v>
      </c>
      <c r="E113" s="16">
        <f t="shared" si="8"/>
        <v>22</v>
      </c>
      <c r="F113" s="19" t="s">
        <v>99</v>
      </c>
      <c r="G113" s="16" t="s">
        <v>69</v>
      </c>
      <c r="H113" s="16" t="str">
        <f>_xlfn.XLOOKUP(G113,'1-Players'!$A$2:$A$27,'1-Players'!$D$2:$D$27,"")</f>
        <v>Alfonso Plummer</v>
      </c>
      <c r="I113" s="19" t="s">
        <v>109</v>
      </c>
      <c r="K113" s="16" t="str" cm="1">
        <f t="array" ref="K113">IFERROR(_xlfn.IFS(I113="Free Throw",1,I113="2-Point Shot",2,I113="Dunk",2,I113="3-Point Shot",3),"")</f>
        <v/>
      </c>
      <c r="L113" s="16" t="str" cm="1">
        <f t="array" ref="L113">IFERROR(_xlfn.IFS(J113="Made",1,J113="Missed",0),"")</f>
        <v/>
      </c>
      <c r="M113" s="16" t="str">
        <f t="shared" si="9"/>
        <v/>
      </c>
      <c r="N113" s="16" t="str">
        <f t="shared" si="10"/>
        <v/>
      </c>
      <c r="O113" s="16" t="str">
        <f t="shared" si="11"/>
        <v/>
      </c>
      <c r="P113" s="16">
        <f>SUM($N$2:N113)</f>
        <v>16</v>
      </c>
      <c r="Q113" s="16">
        <f>SUM($O$2:O113)</f>
        <v>17</v>
      </c>
      <c r="R113" s="52" t="str">
        <f t="shared" si="12"/>
        <v/>
      </c>
      <c r="S113" s="53" t="str">
        <f t="shared" si="13"/>
        <v/>
      </c>
    </row>
    <row r="114" spans="1:19" x14ac:dyDescent="0.35">
      <c r="A114" s="16">
        <v>1</v>
      </c>
      <c r="B114" s="19">
        <v>113</v>
      </c>
      <c r="C114" s="46">
        <v>2.3148148148148147E-3</v>
      </c>
      <c r="D114" s="16">
        <f t="shared" si="14"/>
        <v>3</v>
      </c>
      <c r="E114" s="16">
        <f t="shared" si="8"/>
        <v>20</v>
      </c>
      <c r="F114" s="19" t="s">
        <v>16</v>
      </c>
      <c r="G114" s="16" t="s">
        <v>18</v>
      </c>
      <c r="H114" s="16" t="str">
        <f>_xlfn.XLOOKUP(G114,'1-Players'!$A$2:$A$27,'1-Players'!$D$2:$D$27,"")</f>
        <v>Corey Walden</v>
      </c>
      <c r="I114" s="19" t="s">
        <v>106</v>
      </c>
      <c r="J114" s="19" t="s">
        <v>116</v>
      </c>
      <c r="K114" s="16" t="str" cm="1">
        <f t="array" ref="K114">IFERROR(_xlfn.IFS(I114="Free Throw",1,I114="2-Point Shot",2,I114="Dunk",2,I114="3-Point Shot",3),"")</f>
        <v/>
      </c>
      <c r="L114" s="16" t="str" cm="1">
        <f t="array" ref="L114">IFERROR(_xlfn.IFS(J114="Made",1,J114="Missed",0),"")</f>
        <v/>
      </c>
      <c r="M114" s="16" t="str">
        <f t="shared" si="9"/>
        <v/>
      </c>
      <c r="N114" s="16" t="str">
        <f t="shared" si="10"/>
        <v/>
      </c>
      <c r="O114" s="16" t="str">
        <f t="shared" si="11"/>
        <v/>
      </c>
      <c r="P114" s="16">
        <f>SUM($N$2:N114)</f>
        <v>16</v>
      </c>
      <c r="Q114" s="16">
        <f>SUM($O$2:O114)</f>
        <v>17</v>
      </c>
      <c r="R114" s="52" t="str">
        <f t="shared" si="12"/>
        <v/>
      </c>
      <c r="S114" s="53" t="str">
        <f t="shared" si="13"/>
        <v/>
      </c>
    </row>
    <row r="115" spans="1:19" x14ac:dyDescent="0.35">
      <c r="A115" s="16">
        <v>1</v>
      </c>
      <c r="B115" s="19">
        <v>114</v>
      </c>
      <c r="C115" s="46">
        <v>2.3148148148148147E-3</v>
      </c>
      <c r="D115" s="16">
        <f t="shared" si="14"/>
        <v>3</v>
      </c>
      <c r="E115" s="16">
        <f t="shared" si="8"/>
        <v>20</v>
      </c>
      <c r="F115" s="19" t="s">
        <v>99</v>
      </c>
      <c r="G115" s="16" t="s">
        <v>69</v>
      </c>
      <c r="H115" s="16" t="str">
        <f>_xlfn.XLOOKUP(G115,'1-Players'!$A$2:$A$27,'1-Players'!$D$2:$D$27,"")</f>
        <v>Alfonso Plummer</v>
      </c>
      <c r="I115" s="19" t="s">
        <v>108</v>
      </c>
      <c r="K115" s="16" t="str" cm="1">
        <f t="array" ref="K115">IFERROR(_xlfn.IFS(I115="Free Throw",1,I115="2-Point Shot",2,I115="Dunk",2,I115="3-Point Shot",3),"")</f>
        <v/>
      </c>
      <c r="L115" s="16" t="str" cm="1">
        <f t="array" ref="L115">IFERROR(_xlfn.IFS(J115="Made",1,J115="Missed",0),"")</f>
        <v/>
      </c>
      <c r="M115" s="16" t="str">
        <f t="shared" si="9"/>
        <v/>
      </c>
      <c r="N115" s="16" t="str">
        <f t="shared" si="10"/>
        <v/>
      </c>
      <c r="O115" s="16" t="str">
        <f t="shared" si="11"/>
        <v/>
      </c>
      <c r="P115" s="16">
        <f>SUM($N$2:N115)</f>
        <v>16</v>
      </c>
      <c r="Q115" s="16">
        <f>SUM($O$2:O115)</f>
        <v>17</v>
      </c>
      <c r="R115" s="52" t="str">
        <f t="shared" si="12"/>
        <v/>
      </c>
      <c r="S115" s="53" t="str">
        <f t="shared" si="13"/>
        <v/>
      </c>
    </row>
    <row r="116" spans="1:19" x14ac:dyDescent="0.35">
      <c r="A116" s="19">
        <v>1</v>
      </c>
      <c r="B116" s="19">
        <v>115</v>
      </c>
      <c r="C116" s="46">
        <v>2.3148148148148147E-3</v>
      </c>
      <c r="D116" s="16">
        <f t="shared" si="14"/>
        <v>3</v>
      </c>
      <c r="E116" s="16">
        <f t="shared" si="8"/>
        <v>20</v>
      </c>
      <c r="F116" s="19" t="s">
        <v>46</v>
      </c>
      <c r="G116" s="16" t="s">
        <v>69</v>
      </c>
      <c r="H116" s="16" t="str">
        <f>_xlfn.XLOOKUP(G116,'1-Players'!$A$2:$A$27,'1-Players'!$D$2:$D$27,"")</f>
        <v>Alfonso Plummer</v>
      </c>
      <c r="I116" s="19" t="s">
        <v>85</v>
      </c>
      <c r="J116" s="19" t="s">
        <v>60</v>
      </c>
      <c r="K116" s="16" cm="1">
        <f t="array" ref="K116">IFERROR(_xlfn.IFS(I116="Free Throw",1,I116="2-Point Shot",2,I116="Dunk",2,I116="3-Point Shot",3),"")</f>
        <v>1</v>
      </c>
      <c r="L116" s="16" cm="1">
        <f t="array" ref="L116">IFERROR(_xlfn.IFS(J116="Made",1,J116="Missed",0),"")</f>
        <v>1</v>
      </c>
      <c r="M116" s="16">
        <f t="shared" si="9"/>
        <v>1</v>
      </c>
      <c r="N116" s="16">
        <f t="shared" si="10"/>
        <v>1</v>
      </c>
      <c r="O116" s="16" t="str">
        <f t="shared" si="11"/>
        <v/>
      </c>
      <c r="P116" s="16">
        <f>SUM($N$2:N116)</f>
        <v>17</v>
      </c>
      <c r="Q116" s="16">
        <f>SUM($O$2:O116)</f>
        <v>17</v>
      </c>
      <c r="R116" s="52" t="str">
        <f t="shared" si="12"/>
        <v>MAN 17 - 17 LLE</v>
      </c>
      <c r="S116" s="53">
        <f t="shared" si="13"/>
        <v>2.3148148148148147E-3</v>
      </c>
    </row>
    <row r="117" spans="1:19" x14ac:dyDescent="0.35">
      <c r="A117" s="16">
        <v>1</v>
      </c>
      <c r="B117" s="19">
        <v>116</v>
      </c>
      <c r="C117" s="46">
        <v>2.3148148148148147E-3</v>
      </c>
      <c r="D117" s="16">
        <f t="shared" si="14"/>
        <v>3</v>
      </c>
      <c r="E117" s="16">
        <f t="shared" si="8"/>
        <v>20</v>
      </c>
      <c r="F117" s="19" t="s">
        <v>46</v>
      </c>
      <c r="G117" s="16" t="s">
        <v>69</v>
      </c>
      <c r="H117" s="16" t="str">
        <f>_xlfn.XLOOKUP(G117,'1-Players'!$A$2:$A$27,'1-Players'!$D$2:$D$27,"")</f>
        <v>Alfonso Plummer</v>
      </c>
      <c r="I117" s="19" t="s">
        <v>85</v>
      </c>
      <c r="J117" s="19" t="s">
        <v>60</v>
      </c>
      <c r="K117" s="16" cm="1">
        <f t="array" ref="K117">IFERROR(_xlfn.IFS(I117="Free Throw",1,I117="2-Point Shot",2,I117="Dunk",2,I117="3-Point Shot",3),"")</f>
        <v>1</v>
      </c>
      <c r="L117" s="16" cm="1">
        <f t="array" ref="L117">IFERROR(_xlfn.IFS(J117="Made",1,J117="Missed",0),"")</f>
        <v>1</v>
      </c>
      <c r="M117" s="16">
        <f t="shared" si="9"/>
        <v>1</v>
      </c>
      <c r="N117" s="16">
        <f t="shared" si="10"/>
        <v>1</v>
      </c>
      <c r="O117" s="16" t="str">
        <f t="shared" si="11"/>
        <v/>
      </c>
      <c r="P117" s="16">
        <f>SUM($N$2:N117)</f>
        <v>18</v>
      </c>
      <c r="Q117" s="16">
        <f>SUM($O$2:O117)</f>
        <v>17</v>
      </c>
      <c r="R117" s="52" t="str">
        <f t="shared" si="12"/>
        <v>MAN 18 - 17 LLE</v>
      </c>
      <c r="S117" s="53">
        <f t="shared" si="13"/>
        <v>2.3148148148148147E-3</v>
      </c>
    </row>
    <row r="118" spans="1:19" x14ac:dyDescent="0.35">
      <c r="A118" s="16">
        <v>1</v>
      </c>
      <c r="B118" s="19">
        <v>117</v>
      </c>
      <c r="C118" s="46">
        <v>2.3148148148148147E-3</v>
      </c>
      <c r="D118" s="16">
        <f t="shared" si="14"/>
        <v>3</v>
      </c>
      <c r="E118" s="16">
        <f t="shared" si="8"/>
        <v>20</v>
      </c>
      <c r="F118" s="19" t="s">
        <v>46</v>
      </c>
      <c r="G118" s="16" t="s">
        <v>69</v>
      </c>
      <c r="H118" s="16" t="str">
        <f>_xlfn.XLOOKUP(G118,'1-Players'!$A$2:$A$27,'1-Players'!$D$2:$D$27,"")</f>
        <v>Alfonso Plummer</v>
      </c>
      <c r="I118" s="19" t="s">
        <v>85</v>
      </c>
      <c r="J118" s="19" t="s">
        <v>60</v>
      </c>
      <c r="K118" s="16" cm="1">
        <f t="array" ref="K118">IFERROR(_xlfn.IFS(I118="Free Throw",1,I118="2-Point Shot",2,I118="Dunk",2,I118="3-Point Shot",3),"")</f>
        <v>1</v>
      </c>
      <c r="L118" s="16" cm="1">
        <f t="array" ref="L118">IFERROR(_xlfn.IFS(J118="Made",1,J118="Missed",0),"")</f>
        <v>1</v>
      </c>
      <c r="M118" s="16">
        <f t="shared" si="9"/>
        <v>1</v>
      </c>
      <c r="N118" s="16">
        <f t="shared" si="10"/>
        <v>1</v>
      </c>
      <c r="O118" s="16" t="str">
        <f t="shared" si="11"/>
        <v/>
      </c>
      <c r="P118" s="16">
        <f>SUM($N$2:N118)</f>
        <v>19</v>
      </c>
      <c r="Q118" s="16">
        <f>SUM($O$2:O118)</f>
        <v>17</v>
      </c>
      <c r="R118" s="52" t="str">
        <f t="shared" si="12"/>
        <v>MAN 19 - 17 LLE</v>
      </c>
      <c r="S118" s="53">
        <f t="shared" si="13"/>
        <v>2.3148148148148147E-3</v>
      </c>
    </row>
    <row r="119" spans="1:19" x14ac:dyDescent="0.35">
      <c r="A119" s="19">
        <v>1</v>
      </c>
      <c r="B119" s="19">
        <v>118</v>
      </c>
      <c r="C119" s="46">
        <v>2.1180555555555558E-3</v>
      </c>
      <c r="D119" s="16">
        <f t="shared" si="14"/>
        <v>3</v>
      </c>
      <c r="E119" s="16">
        <f t="shared" si="8"/>
        <v>3</v>
      </c>
      <c r="F119" s="19" t="s">
        <v>16</v>
      </c>
      <c r="G119" s="16" t="s">
        <v>24</v>
      </c>
      <c r="H119" s="16" t="str">
        <f>_xlfn.XLOOKUP(G119,'1-Players'!$A$2:$A$27,'1-Players'!$D$2:$D$27,"")</f>
        <v>Kristers Zoriks</v>
      </c>
      <c r="I119" s="19" t="s">
        <v>83</v>
      </c>
      <c r="J119" s="19" t="s">
        <v>63</v>
      </c>
      <c r="K119" s="16" cm="1">
        <f t="array" ref="K119">IFERROR(_xlfn.IFS(I119="Free Throw",1,I119="2-Point Shot",2,I119="Dunk",2,I119="3-Point Shot",3),"")</f>
        <v>3</v>
      </c>
      <c r="L119" s="16" cm="1">
        <f t="array" ref="L119">IFERROR(_xlfn.IFS(J119="Made",1,J119="Missed",0),"")</f>
        <v>0</v>
      </c>
      <c r="M119" s="16">
        <f t="shared" si="9"/>
        <v>0</v>
      </c>
      <c r="N119" s="16" t="str">
        <f t="shared" si="10"/>
        <v/>
      </c>
      <c r="O119" s="16" t="str">
        <f t="shared" si="11"/>
        <v/>
      </c>
      <c r="P119" s="16">
        <f>SUM($N$2:N119)</f>
        <v>19</v>
      </c>
      <c r="Q119" s="16">
        <f>SUM($O$2:O119)</f>
        <v>17</v>
      </c>
      <c r="R119" s="52" t="str">
        <f t="shared" si="12"/>
        <v/>
      </c>
      <c r="S119" s="53" t="str">
        <f t="shared" si="13"/>
        <v/>
      </c>
    </row>
    <row r="120" spans="1:19" x14ac:dyDescent="0.35">
      <c r="A120" s="16">
        <v>1</v>
      </c>
      <c r="B120" s="19">
        <v>119</v>
      </c>
      <c r="C120" s="46">
        <v>2.1180555555555558E-3</v>
      </c>
      <c r="D120" s="16">
        <f t="shared" si="14"/>
        <v>3</v>
      </c>
      <c r="E120" s="16">
        <f t="shared" si="8"/>
        <v>3</v>
      </c>
      <c r="F120" s="19" t="s">
        <v>16</v>
      </c>
      <c r="G120" s="16" t="s">
        <v>45</v>
      </c>
      <c r="H120" s="16" t="str">
        <f>_xlfn.XLOOKUP(G120,'1-Players'!$A$2:$A$27,'1-Players'!$D$2:$D$27,"")</f>
        <v>Gyorgy Golomán</v>
      </c>
      <c r="I120" s="19" t="s">
        <v>109</v>
      </c>
      <c r="K120" s="16" t="str" cm="1">
        <f t="array" ref="K120">IFERROR(_xlfn.IFS(I120="Free Throw",1,I120="2-Point Shot",2,I120="Dunk",2,I120="3-Point Shot",3),"")</f>
        <v/>
      </c>
      <c r="L120" s="16" t="str" cm="1">
        <f t="array" ref="L120">IFERROR(_xlfn.IFS(J120="Made",1,J120="Missed",0),"")</f>
        <v/>
      </c>
      <c r="M120" s="16" t="str">
        <f t="shared" si="9"/>
        <v/>
      </c>
      <c r="N120" s="16" t="str">
        <f t="shared" si="10"/>
        <v/>
      </c>
      <c r="O120" s="16" t="str">
        <f t="shared" si="11"/>
        <v/>
      </c>
      <c r="P120" s="16">
        <f>SUM($N$2:N120)</f>
        <v>19</v>
      </c>
      <c r="Q120" s="16">
        <f>SUM($O$2:O120)</f>
        <v>17</v>
      </c>
      <c r="R120" s="52" t="str">
        <f t="shared" si="12"/>
        <v/>
      </c>
      <c r="S120" s="53" t="str">
        <f t="shared" si="13"/>
        <v/>
      </c>
    </row>
    <row r="121" spans="1:19" x14ac:dyDescent="0.35">
      <c r="A121" s="16">
        <v>1</v>
      </c>
      <c r="B121" s="19">
        <v>120</v>
      </c>
      <c r="C121" s="46">
        <v>2.0370370370370369E-3</v>
      </c>
      <c r="D121" s="16">
        <f t="shared" si="14"/>
        <v>2</v>
      </c>
      <c r="E121" s="16">
        <f t="shared" si="8"/>
        <v>56</v>
      </c>
      <c r="F121" s="19" t="s">
        <v>16</v>
      </c>
      <c r="G121" s="16" t="s">
        <v>39</v>
      </c>
      <c r="H121" s="16" t="str">
        <f>_xlfn.XLOOKUP(G121,'1-Players'!$A$2:$A$27,'1-Players'!$D$2:$D$27,"")</f>
        <v>Millán Jiménez</v>
      </c>
      <c r="I121" s="19" t="s">
        <v>112</v>
      </c>
      <c r="J121" s="19" t="s">
        <v>113</v>
      </c>
      <c r="K121" s="16" t="str" cm="1">
        <f t="array" ref="K121">IFERROR(_xlfn.IFS(I121="Free Throw",1,I121="2-Point Shot",2,I121="Dunk",2,I121="3-Point Shot",3),"")</f>
        <v/>
      </c>
      <c r="L121" s="16" t="str" cm="1">
        <f t="array" ref="L121">IFERROR(_xlfn.IFS(J121="Made",1,J121="Missed",0),"")</f>
        <v/>
      </c>
      <c r="M121" s="16" t="str">
        <f t="shared" si="9"/>
        <v/>
      </c>
      <c r="N121" s="16" t="str">
        <f t="shared" si="10"/>
        <v/>
      </c>
      <c r="O121" s="16" t="str">
        <f t="shared" si="11"/>
        <v/>
      </c>
      <c r="P121" s="16">
        <f>SUM($N$2:N121)</f>
        <v>19</v>
      </c>
      <c r="Q121" s="16">
        <f>SUM($O$2:O121)</f>
        <v>17</v>
      </c>
      <c r="R121" s="52" t="str">
        <f t="shared" si="12"/>
        <v/>
      </c>
      <c r="S121" s="53" t="str">
        <f t="shared" si="13"/>
        <v/>
      </c>
    </row>
    <row r="122" spans="1:19" x14ac:dyDescent="0.35">
      <c r="A122" s="19">
        <v>1</v>
      </c>
      <c r="B122" s="19">
        <v>121</v>
      </c>
      <c r="C122" s="46">
        <v>1.9328703703703704E-3</v>
      </c>
      <c r="D122" s="16">
        <f t="shared" si="14"/>
        <v>2</v>
      </c>
      <c r="E122" s="16">
        <f t="shared" si="8"/>
        <v>47</v>
      </c>
      <c r="F122" s="19" t="s">
        <v>46</v>
      </c>
      <c r="G122" s="16" t="s">
        <v>9</v>
      </c>
      <c r="H122" s="16" t="str">
        <f>_xlfn.XLOOKUP(G122,'1-Players'!$A$2:$A$27,'1-Players'!$D$2:$D$27,"")</f>
        <v>Agustín Ubal</v>
      </c>
      <c r="I122" s="19" t="s">
        <v>82</v>
      </c>
      <c r="J122" s="19" t="s">
        <v>60</v>
      </c>
      <c r="K122" s="16" cm="1">
        <f t="array" ref="K122">IFERROR(_xlfn.IFS(I122="Free Throw",1,I122="2-Point Shot",2,I122="Dunk",2,I122="3-Point Shot",3),"")</f>
        <v>2</v>
      </c>
      <c r="L122" s="16" cm="1">
        <f t="array" ref="L122">IFERROR(_xlfn.IFS(J122="Made",1,J122="Missed",0),"")</f>
        <v>1</v>
      </c>
      <c r="M122" s="16">
        <f t="shared" si="9"/>
        <v>2</v>
      </c>
      <c r="N122" s="16">
        <f t="shared" si="10"/>
        <v>2</v>
      </c>
      <c r="O122" s="16" t="str">
        <f t="shared" si="11"/>
        <v/>
      </c>
      <c r="P122" s="16">
        <f>SUM($N$2:N122)</f>
        <v>21</v>
      </c>
      <c r="Q122" s="16">
        <f>SUM($O$2:O122)</f>
        <v>17</v>
      </c>
      <c r="R122" s="52" t="str">
        <f t="shared" si="12"/>
        <v>MAN 21 - 17 LLE</v>
      </c>
      <c r="S122" s="53">
        <f t="shared" si="13"/>
        <v>1.9328703703703704E-3</v>
      </c>
    </row>
    <row r="123" spans="1:19" x14ac:dyDescent="0.35">
      <c r="A123" s="16">
        <v>1</v>
      </c>
      <c r="B123" s="19">
        <v>122</v>
      </c>
      <c r="C123" s="46">
        <v>1.7013888888888888E-3</v>
      </c>
      <c r="D123" s="16">
        <f t="shared" si="14"/>
        <v>2</v>
      </c>
      <c r="E123" s="16">
        <f t="shared" si="8"/>
        <v>27</v>
      </c>
      <c r="F123" s="19" t="s">
        <v>16</v>
      </c>
      <c r="G123" s="16" t="s">
        <v>24</v>
      </c>
      <c r="H123" s="16" t="str">
        <f>_xlfn.XLOOKUP(G123,'1-Players'!$A$2:$A$27,'1-Players'!$D$2:$D$27,"")</f>
        <v>Kristers Zoriks</v>
      </c>
      <c r="I123" s="19" t="s">
        <v>82</v>
      </c>
      <c r="J123" s="19" t="s">
        <v>63</v>
      </c>
      <c r="K123" s="16" cm="1">
        <f t="array" ref="K123">IFERROR(_xlfn.IFS(I123="Free Throw",1,I123="2-Point Shot",2,I123="Dunk",2,I123="3-Point Shot",3),"")</f>
        <v>2</v>
      </c>
      <c r="L123" s="16" cm="1">
        <f t="array" ref="L123">IFERROR(_xlfn.IFS(J123="Made",1,J123="Missed",0),"")</f>
        <v>0</v>
      </c>
      <c r="M123" s="16">
        <f t="shared" si="9"/>
        <v>0</v>
      </c>
      <c r="N123" s="16" t="str">
        <f t="shared" si="10"/>
        <v/>
      </c>
      <c r="O123" s="16" t="str">
        <f t="shared" si="11"/>
        <v/>
      </c>
      <c r="P123" s="16">
        <f>SUM($N$2:N123)</f>
        <v>21</v>
      </c>
      <c r="Q123" s="16">
        <f>SUM($O$2:O123)</f>
        <v>17</v>
      </c>
      <c r="R123" s="52" t="str">
        <f t="shared" si="12"/>
        <v/>
      </c>
      <c r="S123" s="53" t="str">
        <f t="shared" si="13"/>
        <v/>
      </c>
    </row>
    <row r="124" spans="1:19" x14ac:dyDescent="0.35">
      <c r="A124" s="16">
        <v>1</v>
      </c>
      <c r="B124" s="19">
        <v>123</v>
      </c>
      <c r="C124" s="46">
        <v>1.7013888888888888E-3</v>
      </c>
      <c r="D124" s="16">
        <f>MINUTE(C124)</f>
        <v>2</v>
      </c>
      <c r="E124" s="16">
        <f>SECOND(C124)</f>
        <v>27</v>
      </c>
      <c r="F124" s="19" t="s">
        <v>16</v>
      </c>
      <c r="G124" s="16" t="s">
        <v>24</v>
      </c>
      <c r="H124" s="16" t="str">
        <f>_xlfn.XLOOKUP(G124,'1-Players'!$A$2:$A$27,'1-Players'!$D$2:$D$27,"")</f>
        <v>Kristers Zoriks</v>
      </c>
      <c r="I124" s="19" t="s">
        <v>86</v>
      </c>
      <c r="J124" s="19"/>
      <c r="K124" s="16" t="str" cm="1">
        <f t="array" ref="K124">IFERROR(_xlfn.IFS(I124="Free Throw",1,I124="2-Point Shot",2,I124="Dunk",2,I124="3-Point Shot",3),"")</f>
        <v/>
      </c>
      <c r="L124" s="16" t="str" cm="1">
        <f t="array" ref="L124">IFERROR(_xlfn.IFS(J124="Made",1,J124="Missed",0),"")</f>
        <v/>
      </c>
      <c r="M124" s="16" t="str">
        <f t="shared" si="9"/>
        <v/>
      </c>
      <c r="N124" s="16" t="str">
        <f t="shared" si="10"/>
        <v/>
      </c>
      <c r="O124" s="16" t="str">
        <f t="shared" si="11"/>
        <v/>
      </c>
      <c r="P124" s="16">
        <f>SUM($N$2:N124)</f>
        <v>21</v>
      </c>
      <c r="Q124" s="16">
        <f>SUM($O$2:O124)</f>
        <v>17</v>
      </c>
      <c r="R124" s="52" t="str">
        <f t="shared" si="12"/>
        <v/>
      </c>
      <c r="S124" s="53" t="str">
        <f t="shared" si="13"/>
        <v/>
      </c>
    </row>
    <row r="125" spans="1:19" x14ac:dyDescent="0.35">
      <c r="A125" s="19">
        <v>1</v>
      </c>
      <c r="B125" s="19">
        <v>124</v>
      </c>
      <c r="C125" s="46">
        <v>1.7013888888888888E-3</v>
      </c>
      <c r="D125" s="16">
        <f>MINUTE(C125)</f>
        <v>2</v>
      </c>
      <c r="E125" s="16">
        <f>SECOND(C125)</f>
        <v>27</v>
      </c>
      <c r="F125" s="19" t="s">
        <v>46</v>
      </c>
      <c r="G125" s="16" t="s">
        <v>70</v>
      </c>
      <c r="H125" s="16" t="str">
        <f>_xlfn.XLOOKUP(G125,'1-Players'!$A$2:$A$27,'1-Players'!$D$2:$D$27,"")</f>
        <v>Louis Olinde</v>
      </c>
      <c r="I125" s="19" t="s">
        <v>64</v>
      </c>
      <c r="K125" s="16" t="str" cm="1">
        <f t="array" ref="K125">IFERROR(_xlfn.IFS(I125="Free Throw",1,I125="2-Point Shot",2,I125="Dunk",2,I125="3-Point Shot",3),"")</f>
        <v/>
      </c>
      <c r="L125" s="16" t="str" cm="1">
        <f t="array" ref="L125">IFERROR(_xlfn.IFS(J125="Made",1,J125="Missed",0),"")</f>
        <v/>
      </c>
      <c r="M125" s="16" t="str">
        <f t="shared" si="9"/>
        <v/>
      </c>
      <c r="N125" s="16" t="str">
        <f t="shared" si="10"/>
        <v/>
      </c>
      <c r="O125" s="16" t="str">
        <f t="shared" si="11"/>
        <v/>
      </c>
      <c r="P125" s="16">
        <f>SUM($N$2:N125)</f>
        <v>21</v>
      </c>
      <c r="Q125" s="16">
        <f>SUM($O$2:O125)</f>
        <v>17</v>
      </c>
      <c r="R125" s="52" t="str">
        <f t="shared" si="12"/>
        <v/>
      </c>
      <c r="S125" s="53" t="str">
        <f t="shared" si="13"/>
        <v/>
      </c>
    </row>
    <row r="126" spans="1:19" x14ac:dyDescent="0.35">
      <c r="A126" s="16">
        <v>1</v>
      </c>
      <c r="B126" s="19">
        <v>125</v>
      </c>
      <c r="C126" s="46">
        <v>1.7013888888888888E-3</v>
      </c>
      <c r="D126" s="16">
        <f t="shared" ref="D126:D164" si="15">MINUTE(C126)</f>
        <v>2</v>
      </c>
      <c r="E126" s="16">
        <f t="shared" ref="E126:E164" si="16">SECOND(C126)</f>
        <v>27</v>
      </c>
      <c r="F126" s="19" t="s">
        <v>16</v>
      </c>
      <c r="G126" s="16" t="s">
        <v>121</v>
      </c>
      <c r="H126" s="16" t="str">
        <f>_xlfn.XLOOKUP(G126,'1-Players'!$A$2:$A$27,'1-Players'!$D$2:$D$27,"")</f>
        <v>TEAM - Lleida</v>
      </c>
      <c r="I126" s="19" t="s">
        <v>109</v>
      </c>
      <c r="K126" s="16" t="str" cm="1">
        <f t="array" ref="K126">IFERROR(_xlfn.IFS(I126="Free Throw",1,I126="2-Point Shot",2,I126="Dunk",2,I126="3-Point Shot",3),"")</f>
        <v/>
      </c>
      <c r="L126" s="16" t="str" cm="1">
        <f t="array" ref="L126">IFERROR(_xlfn.IFS(J126="Made",1,J126="Missed",0),"")</f>
        <v/>
      </c>
      <c r="M126" s="16" t="str">
        <f t="shared" si="9"/>
        <v/>
      </c>
      <c r="N126" s="16" t="str">
        <f t="shared" si="10"/>
        <v/>
      </c>
      <c r="O126" s="16" t="str">
        <f t="shared" si="11"/>
        <v/>
      </c>
      <c r="P126" s="16">
        <f>SUM($N$2:N126)</f>
        <v>21</v>
      </c>
      <c r="Q126" s="16">
        <f>SUM($O$2:O126)</f>
        <v>17</v>
      </c>
      <c r="R126" s="52" t="str">
        <f t="shared" si="12"/>
        <v/>
      </c>
      <c r="S126" s="53" t="str">
        <f t="shared" si="13"/>
        <v/>
      </c>
    </row>
    <row r="127" spans="1:19" x14ac:dyDescent="0.35">
      <c r="A127" s="16">
        <v>1</v>
      </c>
      <c r="B127" s="19">
        <v>126</v>
      </c>
      <c r="C127" s="46">
        <v>1.7013888888888888E-3</v>
      </c>
      <c r="D127" s="16">
        <f t="shared" si="15"/>
        <v>2</v>
      </c>
      <c r="E127" s="16">
        <f t="shared" si="16"/>
        <v>27</v>
      </c>
      <c r="F127" s="19" t="s">
        <v>46</v>
      </c>
      <c r="G127" s="16" t="s">
        <v>70</v>
      </c>
      <c r="H127" s="16" t="str">
        <f>_xlfn.XLOOKUP(G127,'1-Players'!$A$2:$A$27,'1-Players'!$D$2:$D$27,"")</f>
        <v>Louis Olinde</v>
      </c>
      <c r="I127" s="19" t="s">
        <v>122</v>
      </c>
      <c r="J127" s="19" t="s">
        <v>118</v>
      </c>
      <c r="K127" s="16" t="str" cm="1">
        <f t="array" ref="K127">IFERROR(_xlfn.IFS(I127="Free Throw",1,I127="2-Point Shot",2,I127="Dunk",2,I127="3-Point Shot",3),"")</f>
        <v/>
      </c>
      <c r="L127" s="16" t="str" cm="1">
        <f t="array" ref="L127">IFERROR(_xlfn.IFS(J127="Made",1,J127="Missed",0),"")</f>
        <v/>
      </c>
      <c r="M127" s="16" t="str">
        <f t="shared" si="9"/>
        <v/>
      </c>
      <c r="N127" s="16" t="str">
        <f t="shared" si="10"/>
        <v/>
      </c>
      <c r="O127" s="16" t="str">
        <f t="shared" si="11"/>
        <v/>
      </c>
      <c r="P127" s="16">
        <f>SUM($N$2:N127)</f>
        <v>21</v>
      </c>
      <c r="Q127" s="16">
        <f>SUM($O$2:O127)</f>
        <v>17</v>
      </c>
      <c r="R127" s="52" t="str">
        <f t="shared" si="12"/>
        <v/>
      </c>
      <c r="S127" s="53" t="str">
        <f t="shared" si="13"/>
        <v/>
      </c>
    </row>
    <row r="128" spans="1:19" x14ac:dyDescent="0.35">
      <c r="A128" s="19">
        <v>1</v>
      </c>
      <c r="B128" s="19">
        <v>127</v>
      </c>
      <c r="C128" s="46">
        <v>1.7013888888888888E-3</v>
      </c>
      <c r="D128" s="16">
        <f t="shared" si="15"/>
        <v>2</v>
      </c>
      <c r="E128" s="16">
        <f t="shared" si="16"/>
        <v>27</v>
      </c>
      <c r="F128" s="19" t="s">
        <v>16</v>
      </c>
      <c r="G128" s="16" t="s">
        <v>18</v>
      </c>
      <c r="H128" s="16" t="str">
        <f>_xlfn.XLOOKUP(G128,'1-Players'!$A$2:$A$27,'1-Players'!$D$2:$D$27,"")</f>
        <v>Corey Walden</v>
      </c>
      <c r="I128" s="19" t="s">
        <v>85</v>
      </c>
      <c r="J128" s="19" t="s">
        <v>60</v>
      </c>
      <c r="K128" s="16" cm="1">
        <f t="array" ref="K128">IFERROR(_xlfn.IFS(I128="Free Throw",1,I128="2-Point Shot",2,I128="Dunk",2,I128="3-Point Shot",3),"")</f>
        <v>1</v>
      </c>
      <c r="L128" s="16" cm="1">
        <f t="array" ref="L128">IFERROR(_xlfn.IFS(J128="Made",1,J128="Missed",0),"")</f>
        <v>1</v>
      </c>
      <c r="M128" s="16">
        <f t="shared" si="9"/>
        <v>1</v>
      </c>
      <c r="N128" s="16" t="str">
        <f t="shared" si="10"/>
        <v/>
      </c>
      <c r="O128" s="16">
        <f t="shared" si="11"/>
        <v>1</v>
      </c>
      <c r="P128" s="16">
        <f>SUM($N$2:N128)</f>
        <v>21</v>
      </c>
      <c r="Q128" s="16">
        <f>SUM($O$2:O128)</f>
        <v>18</v>
      </c>
      <c r="R128" s="52" t="str">
        <f t="shared" si="12"/>
        <v>MAN 21 - 18 LLE</v>
      </c>
      <c r="S128" s="53">
        <f t="shared" si="13"/>
        <v>1.7013888888888888E-3</v>
      </c>
    </row>
    <row r="129" spans="1:19" x14ac:dyDescent="0.35">
      <c r="A129" s="16">
        <v>1</v>
      </c>
      <c r="B129" s="19">
        <v>128</v>
      </c>
      <c r="C129" s="46">
        <v>1.7013888888888888E-3</v>
      </c>
      <c r="D129" s="16">
        <f t="shared" si="15"/>
        <v>2</v>
      </c>
      <c r="E129" s="16">
        <f t="shared" si="16"/>
        <v>27</v>
      </c>
      <c r="F129" s="19" t="s">
        <v>46</v>
      </c>
      <c r="G129" s="16" t="s">
        <v>120</v>
      </c>
      <c r="H129" s="16" t="str">
        <f>_xlfn.XLOOKUP(G129,'1-Players'!$A$2:$A$27,'1-Players'!$D$2:$D$27,"")</f>
        <v>TEAM - Manresa</v>
      </c>
      <c r="I129" s="19" t="s">
        <v>112</v>
      </c>
      <c r="K129" s="16" t="str" cm="1">
        <f t="array" ref="K129">IFERROR(_xlfn.IFS(I129="Free Throw",1,I129="2-Point Shot",2,I129="Dunk",2,I129="3-Point Shot",3),"")</f>
        <v/>
      </c>
      <c r="L129" s="16" t="str" cm="1">
        <f t="array" ref="L129">IFERROR(_xlfn.IFS(J129="Made",1,J129="Missed",0),"")</f>
        <v/>
      </c>
      <c r="M129" s="16" t="str">
        <f t="shared" si="9"/>
        <v/>
      </c>
      <c r="N129" s="16" t="str">
        <f t="shared" si="10"/>
        <v/>
      </c>
      <c r="O129" s="16" t="str">
        <f t="shared" si="11"/>
        <v/>
      </c>
      <c r="P129" s="16">
        <f>SUM($N$2:N129)</f>
        <v>21</v>
      </c>
      <c r="Q129" s="16">
        <f>SUM($O$2:O129)</f>
        <v>18</v>
      </c>
      <c r="R129" s="52" t="str">
        <f t="shared" si="12"/>
        <v/>
      </c>
      <c r="S129" s="53" t="str">
        <f t="shared" si="13"/>
        <v/>
      </c>
    </row>
    <row r="130" spans="1:19" x14ac:dyDescent="0.35">
      <c r="A130" s="16">
        <v>1</v>
      </c>
      <c r="B130" s="19">
        <v>129</v>
      </c>
      <c r="C130" s="46">
        <v>1.6087962962962963E-3</v>
      </c>
      <c r="D130" s="16">
        <f t="shared" si="15"/>
        <v>2</v>
      </c>
      <c r="E130" s="16">
        <f t="shared" si="16"/>
        <v>19</v>
      </c>
      <c r="F130" s="19" t="s">
        <v>16</v>
      </c>
      <c r="G130" s="16" t="s">
        <v>45</v>
      </c>
      <c r="H130" s="16" t="str">
        <f>_xlfn.XLOOKUP(G130,'1-Players'!$A$2:$A$27,'1-Players'!$D$2:$D$27,"")</f>
        <v>Gyorgy Golomán</v>
      </c>
      <c r="I130" s="19" t="s">
        <v>114</v>
      </c>
      <c r="K130" s="16" t="str" cm="1">
        <f t="array" ref="K130">IFERROR(_xlfn.IFS(I130="Free Throw",1,I130="2-Point Shot",2,I130="Dunk",2,I130="3-Point Shot",3),"")</f>
        <v/>
      </c>
      <c r="L130" s="16" t="str" cm="1">
        <f t="array" ref="L130">IFERROR(_xlfn.IFS(J130="Made",1,J130="Missed",0),"")</f>
        <v/>
      </c>
      <c r="M130" s="16" t="str">
        <f t="shared" si="9"/>
        <v/>
      </c>
      <c r="N130" s="16" t="str">
        <f t="shared" si="10"/>
        <v/>
      </c>
      <c r="O130" s="16" t="str">
        <f t="shared" si="11"/>
        <v/>
      </c>
      <c r="P130" s="16">
        <f>SUM($N$2:N130)</f>
        <v>21</v>
      </c>
      <c r="Q130" s="16">
        <f>SUM($O$2:O130)</f>
        <v>18</v>
      </c>
      <c r="R130" s="52" t="str">
        <f t="shared" si="12"/>
        <v/>
      </c>
      <c r="S130" s="53" t="str">
        <f t="shared" si="13"/>
        <v/>
      </c>
    </row>
    <row r="131" spans="1:19" x14ac:dyDescent="0.35">
      <c r="A131" s="19">
        <v>1</v>
      </c>
      <c r="B131" s="19">
        <v>130</v>
      </c>
      <c r="C131" s="46">
        <v>1.6087962962962963E-3</v>
      </c>
      <c r="D131" s="16">
        <f t="shared" si="15"/>
        <v>2</v>
      </c>
      <c r="E131" s="16">
        <f t="shared" si="16"/>
        <v>19</v>
      </c>
      <c r="F131" s="19" t="s">
        <v>16</v>
      </c>
      <c r="G131" s="16" t="s">
        <v>45</v>
      </c>
      <c r="H131" s="16" t="str">
        <f>_xlfn.XLOOKUP(G131,'1-Players'!$A$2:$A$27,'1-Players'!$D$2:$D$27,"")</f>
        <v>Gyorgy Golomán</v>
      </c>
      <c r="I131" s="19" t="s">
        <v>112</v>
      </c>
      <c r="K131" s="16" t="str" cm="1">
        <f t="array" ref="K131">IFERROR(_xlfn.IFS(I131="Free Throw",1,I131="2-Point Shot",2,I131="Dunk",2,I131="3-Point Shot",3),"")</f>
        <v/>
      </c>
      <c r="L131" s="16" t="str" cm="1">
        <f t="array" ref="L131">IFERROR(_xlfn.IFS(J131="Made",1,J131="Missed",0),"")</f>
        <v/>
      </c>
      <c r="M131" s="16" t="str">
        <f t="shared" ref="M131:M164" si="17">IFERROR(K131*L131,"")</f>
        <v/>
      </c>
      <c r="N131" s="16" t="str">
        <f t="shared" ref="N131:N164" si="18">IF(AND(F131="MANRESA", L131=1), M131, "")</f>
        <v/>
      </c>
      <c r="O131" s="16" t="str">
        <f t="shared" ref="O131:O164" si="19">IF(AND(F131="LLEIDA", L131=1), M131, "")</f>
        <v/>
      </c>
      <c r="P131" s="16">
        <f>SUM($N$2:N131)</f>
        <v>21</v>
      </c>
      <c r="Q131" s="16">
        <f>SUM($O$2:O131)</f>
        <v>18</v>
      </c>
      <c r="R131" s="52" t="str">
        <f t="shared" ref="R131:R164" si="20">IF(OR(P131&lt;&gt;P130, Q131&lt;&gt;Q130), _xlfn.CONCAT("MAN ", P131, " - ", Q131, " LLE"),
   ""
)</f>
        <v/>
      </c>
      <c r="S131" s="53" t="str">
        <f t="shared" ref="S131:S164" si="21">IF(R131="","",C131)</f>
        <v/>
      </c>
    </row>
    <row r="132" spans="1:19" x14ac:dyDescent="0.35">
      <c r="A132" s="16">
        <v>1</v>
      </c>
      <c r="B132" s="19">
        <v>131</v>
      </c>
      <c r="C132" s="46">
        <v>1.6087962962962963E-3</v>
      </c>
      <c r="D132" s="16">
        <f t="shared" si="15"/>
        <v>2</v>
      </c>
      <c r="E132" s="16">
        <f t="shared" si="16"/>
        <v>19</v>
      </c>
      <c r="F132" s="19" t="s">
        <v>46</v>
      </c>
      <c r="G132" s="16" t="s">
        <v>68</v>
      </c>
      <c r="H132" s="16" t="str">
        <f>_xlfn.XLOOKUP(G132,'1-Players'!$A$2:$A$27,'1-Players'!$D$2:$D$27,"")</f>
        <v>Dani Pérez</v>
      </c>
      <c r="I132" s="19" t="s">
        <v>108</v>
      </c>
      <c r="K132" s="16" t="str" cm="1">
        <f t="array" ref="K132">IFERROR(_xlfn.IFS(I132="Free Throw",1,I132="2-Point Shot",2,I132="Dunk",2,I132="3-Point Shot",3),"")</f>
        <v/>
      </c>
      <c r="L132" s="16" t="str" cm="1">
        <f t="array" ref="L132">IFERROR(_xlfn.IFS(J132="Made",1,J132="Missed",0),"")</f>
        <v/>
      </c>
      <c r="M132" s="16" t="str">
        <f t="shared" si="17"/>
        <v/>
      </c>
      <c r="N132" s="16" t="str">
        <f t="shared" si="18"/>
        <v/>
      </c>
      <c r="O132" s="16" t="str">
        <f t="shared" si="19"/>
        <v/>
      </c>
      <c r="P132" s="16">
        <f>SUM($N$2:N132)</f>
        <v>21</v>
      </c>
      <c r="Q132" s="16">
        <f>SUM($O$2:O132)</f>
        <v>18</v>
      </c>
      <c r="R132" s="52" t="str">
        <f t="shared" si="20"/>
        <v/>
      </c>
      <c r="S132" s="53" t="str">
        <f t="shared" si="21"/>
        <v/>
      </c>
    </row>
    <row r="133" spans="1:19" x14ac:dyDescent="0.35">
      <c r="A133" s="16">
        <v>1</v>
      </c>
      <c r="B133" s="19">
        <v>132</v>
      </c>
      <c r="C133" s="46">
        <v>1.6087962962962963E-3</v>
      </c>
      <c r="D133" s="16">
        <f t="shared" si="15"/>
        <v>2</v>
      </c>
      <c r="E133" s="16">
        <f t="shared" si="16"/>
        <v>19</v>
      </c>
      <c r="F133" s="19" t="s">
        <v>16</v>
      </c>
      <c r="G133" s="16" t="s">
        <v>24</v>
      </c>
      <c r="H133" s="16" t="str">
        <f>_xlfn.XLOOKUP(G133,'1-Players'!$A$2:$A$27,'1-Players'!$D$2:$D$27,"")</f>
        <v>Kristers Zoriks</v>
      </c>
      <c r="I133" s="19" t="s">
        <v>110</v>
      </c>
      <c r="K133" s="16" t="str" cm="1">
        <f t="array" ref="K133">IFERROR(_xlfn.IFS(I133="Free Throw",1,I133="2-Point Shot",2,I133="Dunk",2,I133="3-Point Shot",3),"")</f>
        <v/>
      </c>
      <c r="L133" s="16" t="str" cm="1">
        <f t="array" ref="L133">IFERROR(_xlfn.IFS(J133="Made",1,J133="Missed",0),"")</f>
        <v/>
      </c>
      <c r="M133" s="16" t="str">
        <f t="shared" si="17"/>
        <v/>
      </c>
      <c r="N133" s="16" t="str">
        <f t="shared" si="18"/>
        <v/>
      </c>
      <c r="O133" s="16" t="str">
        <f t="shared" si="19"/>
        <v/>
      </c>
      <c r="P133" s="16">
        <f>SUM($N$2:N133)</f>
        <v>21</v>
      </c>
      <c r="Q133" s="16">
        <f>SUM($O$2:O133)</f>
        <v>18</v>
      </c>
      <c r="R133" s="52" t="str">
        <f t="shared" si="20"/>
        <v/>
      </c>
      <c r="S133" s="53" t="str">
        <f t="shared" si="21"/>
        <v/>
      </c>
    </row>
    <row r="134" spans="1:19" x14ac:dyDescent="0.35">
      <c r="A134" s="19">
        <v>1</v>
      </c>
      <c r="B134" s="19">
        <v>133</v>
      </c>
      <c r="C134" s="46">
        <v>1.6087962962962963E-3</v>
      </c>
      <c r="D134" s="16">
        <f t="shared" si="15"/>
        <v>2</v>
      </c>
      <c r="E134" s="16">
        <f t="shared" si="16"/>
        <v>19</v>
      </c>
      <c r="F134" s="19" t="s">
        <v>16</v>
      </c>
      <c r="G134" s="16" t="s">
        <v>22</v>
      </c>
      <c r="H134" s="16" t="str">
        <f>_xlfn.XLOOKUP(G134,'1-Players'!$A$2:$A$27,'1-Players'!$D$2:$D$27,"")</f>
        <v>Oriol Paulí</v>
      </c>
      <c r="I134" s="19" t="s">
        <v>111</v>
      </c>
      <c r="K134" s="16" t="str" cm="1">
        <f t="array" ref="K134">IFERROR(_xlfn.IFS(I134="Free Throw",1,I134="2-Point Shot",2,I134="Dunk",2,I134="3-Point Shot",3),"")</f>
        <v/>
      </c>
      <c r="L134" s="16" t="str" cm="1">
        <f t="array" ref="L134">IFERROR(_xlfn.IFS(J134="Made",1,J134="Missed",0),"")</f>
        <v/>
      </c>
      <c r="M134" s="16" t="str">
        <f t="shared" si="17"/>
        <v/>
      </c>
      <c r="N134" s="16" t="str">
        <f t="shared" si="18"/>
        <v/>
      </c>
      <c r="O134" s="16" t="str">
        <f t="shared" si="19"/>
        <v/>
      </c>
      <c r="P134" s="16">
        <f>SUM($N$2:N134)</f>
        <v>21</v>
      </c>
      <c r="Q134" s="16">
        <f>SUM($O$2:O134)</f>
        <v>18</v>
      </c>
      <c r="R134" s="52" t="str">
        <f t="shared" si="20"/>
        <v/>
      </c>
      <c r="S134" s="53" t="str">
        <f t="shared" si="21"/>
        <v/>
      </c>
    </row>
    <row r="135" spans="1:19" x14ac:dyDescent="0.35">
      <c r="A135" s="16">
        <v>1</v>
      </c>
      <c r="B135" s="19">
        <v>134</v>
      </c>
      <c r="C135" s="46">
        <v>1.5509259259259259E-3</v>
      </c>
      <c r="D135" s="16">
        <f t="shared" si="15"/>
        <v>2</v>
      </c>
      <c r="E135" s="16">
        <f t="shared" si="16"/>
        <v>14</v>
      </c>
      <c r="F135" s="19" t="s">
        <v>16</v>
      </c>
      <c r="G135" s="16" t="s">
        <v>45</v>
      </c>
      <c r="H135" s="16" t="str">
        <f>_xlfn.XLOOKUP(G135,'1-Players'!$A$2:$A$27,'1-Players'!$D$2:$D$27,"")</f>
        <v>Gyorgy Golomán</v>
      </c>
      <c r="I135" s="19" t="s">
        <v>106</v>
      </c>
      <c r="J135" s="19" t="s">
        <v>107</v>
      </c>
      <c r="K135" s="16" t="str" cm="1">
        <f t="array" ref="K135">IFERROR(_xlfn.IFS(I135="Free Throw",1,I135="2-Point Shot",2,I135="Dunk",2,I135="3-Point Shot",3),"")</f>
        <v/>
      </c>
      <c r="L135" s="16" t="str" cm="1">
        <f t="array" ref="L135">IFERROR(_xlfn.IFS(J135="Made",1,J135="Missed",0),"")</f>
        <v/>
      </c>
      <c r="M135" s="16" t="str">
        <f t="shared" si="17"/>
        <v/>
      </c>
      <c r="N135" s="16" t="str">
        <f t="shared" si="18"/>
        <v/>
      </c>
      <c r="O135" s="16" t="str">
        <f t="shared" si="19"/>
        <v/>
      </c>
      <c r="P135" s="16">
        <f>SUM($N$2:N135)</f>
        <v>21</v>
      </c>
      <c r="Q135" s="16">
        <f>SUM($O$2:O135)</f>
        <v>18</v>
      </c>
      <c r="R135" s="52" t="str">
        <f t="shared" si="20"/>
        <v/>
      </c>
      <c r="S135" s="53" t="str">
        <f t="shared" si="21"/>
        <v/>
      </c>
    </row>
    <row r="136" spans="1:19" x14ac:dyDescent="0.35">
      <c r="A136" s="16">
        <v>1</v>
      </c>
      <c r="B136" s="19">
        <v>135</v>
      </c>
      <c r="C136" s="46">
        <v>1.5509259259259259E-3</v>
      </c>
      <c r="D136" s="16">
        <f t="shared" si="15"/>
        <v>2</v>
      </c>
      <c r="E136" s="16">
        <f t="shared" si="16"/>
        <v>14</v>
      </c>
      <c r="F136" s="19" t="s">
        <v>46</v>
      </c>
      <c r="G136" s="16" t="s">
        <v>70</v>
      </c>
      <c r="H136" s="16" t="str">
        <f>_xlfn.XLOOKUP(G136,'1-Players'!$A$2:$A$27,'1-Players'!$D$2:$D$27,"")</f>
        <v>Louis Olinde</v>
      </c>
      <c r="I136" s="19" t="s">
        <v>108</v>
      </c>
      <c r="K136" s="16" t="str" cm="1">
        <f t="array" ref="K136">IFERROR(_xlfn.IFS(I136="Free Throw",1,I136="2-Point Shot",2,I136="Dunk",2,I136="3-Point Shot",3),"")</f>
        <v/>
      </c>
      <c r="L136" s="16" t="str" cm="1">
        <f t="array" ref="L136">IFERROR(_xlfn.IFS(J136="Made",1,J136="Missed",0),"")</f>
        <v/>
      </c>
      <c r="M136" s="16" t="str">
        <f t="shared" si="17"/>
        <v/>
      </c>
      <c r="N136" s="16" t="str">
        <f t="shared" si="18"/>
        <v/>
      </c>
      <c r="O136" s="16" t="str">
        <f t="shared" si="19"/>
        <v/>
      </c>
      <c r="P136" s="16">
        <f>SUM($N$2:N136)</f>
        <v>21</v>
      </c>
      <c r="Q136" s="16">
        <f>SUM($O$2:O136)</f>
        <v>18</v>
      </c>
      <c r="R136" s="52" t="str">
        <f t="shared" si="20"/>
        <v/>
      </c>
      <c r="S136" s="53" t="str">
        <f t="shared" si="21"/>
        <v/>
      </c>
    </row>
    <row r="137" spans="1:19" x14ac:dyDescent="0.35">
      <c r="A137" s="19">
        <v>1</v>
      </c>
      <c r="B137" s="19">
        <v>136</v>
      </c>
      <c r="C137" s="46">
        <v>1.5509259259259259E-3</v>
      </c>
      <c r="D137" s="16">
        <f t="shared" si="15"/>
        <v>2</v>
      </c>
      <c r="E137" s="16">
        <f t="shared" si="16"/>
        <v>14</v>
      </c>
      <c r="F137" s="19" t="s">
        <v>16</v>
      </c>
      <c r="G137" s="16" t="s">
        <v>45</v>
      </c>
      <c r="H137" s="16" t="str">
        <f>_xlfn.XLOOKUP(G137,'1-Players'!$A$2:$A$27,'1-Players'!$D$2:$D$27,"")</f>
        <v>Gyorgy Golomán</v>
      </c>
      <c r="I137" s="19" t="s">
        <v>110</v>
      </c>
      <c r="K137" s="16" t="str" cm="1">
        <f t="array" ref="K137">IFERROR(_xlfn.IFS(I137="Free Throw",1,I137="2-Point Shot",2,I137="Dunk",2,I137="3-Point Shot",3),"")</f>
        <v/>
      </c>
      <c r="L137" s="16" t="str" cm="1">
        <f t="array" ref="L137">IFERROR(_xlfn.IFS(J137="Made",1,J137="Missed",0),"")</f>
        <v/>
      </c>
      <c r="M137" s="16" t="str">
        <f t="shared" si="17"/>
        <v/>
      </c>
      <c r="N137" s="16" t="str">
        <f t="shared" si="18"/>
        <v/>
      </c>
      <c r="O137" s="16" t="str">
        <f t="shared" si="19"/>
        <v/>
      </c>
      <c r="P137" s="16">
        <f>SUM($N$2:N137)</f>
        <v>21</v>
      </c>
      <c r="Q137" s="16">
        <f>SUM($O$2:O137)</f>
        <v>18</v>
      </c>
      <c r="R137" s="52" t="str">
        <f t="shared" si="20"/>
        <v/>
      </c>
      <c r="S137" s="53" t="str">
        <f t="shared" si="21"/>
        <v/>
      </c>
    </row>
    <row r="138" spans="1:19" x14ac:dyDescent="0.35">
      <c r="A138" s="16">
        <v>1</v>
      </c>
      <c r="B138" s="19">
        <v>137</v>
      </c>
      <c r="C138" s="46">
        <v>1.5509259259259259E-3</v>
      </c>
      <c r="D138" s="16">
        <f t="shared" si="15"/>
        <v>2</v>
      </c>
      <c r="E138" s="16">
        <f t="shared" si="16"/>
        <v>14</v>
      </c>
      <c r="F138" s="19" t="s">
        <v>16</v>
      </c>
      <c r="G138" s="16" t="s">
        <v>43</v>
      </c>
      <c r="H138" s="16" t="str">
        <f>_xlfn.XLOOKUP(G138,'1-Players'!$A$2:$A$27,'1-Players'!$D$2:$D$27,"")</f>
        <v>Cameron Krutwig</v>
      </c>
      <c r="I138" s="19" t="s">
        <v>111</v>
      </c>
      <c r="K138" s="16" t="str" cm="1">
        <f t="array" ref="K138">IFERROR(_xlfn.IFS(I138="Free Throw",1,I138="2-Point Shot",2,I138="Dunk",2,I138="3-Point Shot",3),"")</f>
        <v/>
      </c>
      <c r="L138" s="16" t="str" cm="1">
        <f t="array" ref="L138">IFERROR(_xlfn.IFS(J138="Made",1,J138="Missed",0),"")</f>
        <v/>
      </c>
      <c r="M138" s="16" t="str">
        <f t="shared" si="17"/>
        <v/>
      </c>
      <c r="N138" s="16" t="str">
        <f t="shared" si="18"/>
        <v/>
      </c>
      <c r="O138" s="16" t="str">
        <f t="shared" si="19"/>
        <v/>
      </c>
      <c r="P138" s="16">
        <f>SUM($N$2:N138)</f>
        <v>21</v>
      </c>
      <c r="Q138" s="16">
        <f>SUM($O$2:O138)</f>
        <v>18</v>
      </c>
      <c r="R138" s="52" t="str">
        <f t="shared" si="20"/>
        <v/>
      </c>
      <c r="S138" s="53" t="str">
        <f t="shared" si="21"/>
        <v/>
      </c>
    </row>
    <row r="139" spans="1:19" x14ac:dyDescent="0.35">
      <c r="A139" s="16">
        <v>1</v>
      </c>
      <c r="B139" s="19">
        <v>138</v>
      </c>
      <c r="C139" s="46">
        <v>1.5509259259259259E-3</v>
      </c>
      <c r="D139" s="16">
        <f t="shared" si="15"/>
        <v>2</v>
      </c>
      <c r="E139" s="16">
        <f t="shared" si="16"/>
        <v>14</v>
      </c>
      <c r="F139" s="19" t="s">
        <v>46</v>
      </c>
      <c r="G139" s="16" t="s">
        <v>70</v>
      </c>
      <c r="H139" s="16" t="str">
        <f>_xlfn.XLOOKUP(G139,'1-Players'!$A$2:$A$27,'1-Players'!$D$2:$D$27,"")</f>
        <v>Louis Olinde</v>
      </c>
      <c r="I139" s="19" t="s">
        <v>85</v>
      </c>
      <c r="J139" s="19" t="s">
        <v>63</v>
      </c>
      <c r="K139" s="16" cm="1">
        <f t="array" ref="K139">IFERROR(_xlfn.IFS(I139="Free Throw",1,I139="2-Point Shot",2,I139="Dunk",2,I139="3-Point Shot",3),"")</f>
        <v>1</v>
      </c>
      <c r="L139" s="16" cm="1">
        <f t="array" ref="L139">IFERROR(_xlfn.IFS(J139="Made",1,J139="Missed",0),"")</f>
        <v>0</v>
      </c>
      <c r="M139" s="16">
        <f t="shared" si="17"/>
        <v>0</v>
      </c>
      <c r="N139" s="16" t="str">
        <f t="shared" si="18"/>
        <v/>
      </c>
      <c r="O139" s="16" t="str">
        <f t="shared" si="19"/>
        <v/>
      </c>
      <c r="P139" s="16">
        <f>SUM($N$2:N139)</f>
        <v>21</v>
      </c>
      <c r="Q139" s="16">
        <f>SUM($O$2:O139)</f>
        <v>18</v>
      </c>
      <c r="R139" s="52" t="str">
        <f t="shared" si="20"/>
        <v/>
      </c>
      <c r="S139" s="53" t="str">
        <f t="shared" si="21"/>
        <v/>
      </c>
    </row>
    <row r="140" spans="1:19" x14ac:dyDescent="0.35">
      <c r="A140" s="19">
        <v>1</v>
      </c>
      <c r="B140" s="19">
        <v>139</v>
      </c>
      <c r="C140" s="46">
        <v>1.5509259259259259E-3</v>
      </c>
      <c r="D140" s="16">
        <f t="shared" si="15"/>
        <v>2</v>
      </c>
      <c r="E140" s="16">
        <f t="shared" si="16"/>
        <v>14</v>
      </c>
      <c r="F140" s="19" t="s">
        <v>46</v>
      </c>
      <c r="G140" s="16" t="s">
        <v>70</v>
      </c>
      <c r="H140" s="16" t="str">
        <f>_xlfn.XLOOKUP(G140,'1-Players'!$A$2:$A$27,'1-Players'!$D$2:$D$27,"")</f>
        <v>Louis Olinde</v>
      </c>
      <c r="I140" s="19" t="s">
        <v>85</v>
      </c>
      <c r="J140" s="16" t="s">
        <v>60</v>
      </c>
      <c r="K140" s="16" cm="1">
        <f t="array" ref="K140">IFERROR(_xlfn.IFS(I140="Free Throw",1,I140="2-Point Shot",2,I140="Dunk",2,I140="3-Point Shot",3),"")</f>
        <v>1</v>
      </c>
      <c r="L140" s="16" cm="1">
        <f t="array" ref="L140">IFERROR(_xlfn.IFS(J140="Made",1,J140="Missed",0),"")</f>
        <v>1</v>
      </c>
      <c r="M140" s="16">
        <f t="shared" si="17"/>
        <v>1</v>
      </c>
      <c r="N140" s="16">
        <f t="shared" si="18"/>
        <v>1</v>
      </c>
      <c r="O140" s="16" t="str">
        <f t="shared" si="19"/>
        <v/>
      </c>
      <c r="P140" s="16">
        <f>SUM($N$2:N140)</f>
        <v>22</v>
      </c>
      <c r="Q140" s="16">
        <f>SUM($O$2:O140)</f>
        <v>18</v>
      </c>
      <c r="R140" s="52" t="str">
        <f t="shared" si="20"/>
        <v>MAN 22 - 18 LLE</v>
      </c>
      <c r="S140" s="53">
        <f t="shared" si="21"/>
        <v>1.5509259259259259E-3</v>
      </c>
    </row>
    <row r="141" spans="1:19" x14ac:dyDescent="0.35">
      <c r="A141" s="16">
        <v>1</v>
      </c>
      <c r="B141" s="19">
        <v>140</v>
      </c>
      <c r="C141" s="46">
        <v>1.5509259259259259E-3</v>
      </c>
      <c r="D141" s="16">
        <f t="shared" si="15"/>
        <v>2</v>
      </c>
      <c r="E141" s="16">
        <f t="shared" si="16"/>
        <v>14</v>
      </c>
      <c r="F141" s="19" t="s">
        <v>46</v>
      </c>
      <c r="G141" s="16" t="s">
        <v>70</v>
      </c>
      <c r="H141" s="16" t="str">
        <f>_xlfn.XLOOKUP(G141,'1-Players'!$A$2:$A$27,'1-Players'!$D$2:$D$27,"")</f>
        <v>Louis Olinde</v>
      </c>
      <c r="I141" s="19" t="s">
        <v>110</v>
      </c>
      <c r="K141" s="16" t="str" cm="1">
        <f t="array" ref="K141">IFERROR(_xlfn.IFS(I141="Free Throw",1,I141="2-Point Shot",2,I141="Dunk",2,I141="3-Point Shot",3),"")</f>
        <v/>
      </c>
      <c r="L141" s="16" t="str" cm="1">
        <f t="array" ref="L141">IFERROR(_xlfn.IFS(J141="Made",1,J141="Missed",0),"")</f>
        <v/>
      </c>
      <c r="M141" s="16" t="str">
        <f t="shared" si="17"/>
        <v/>
      </c>
      <c r="N141" s="16" t="str">
        <f t="shared" si="18"/>
        <v/>
      </c>
      <c r="O141" s="16" t="str">
        <f t="shared" si="19"/>
        <v/>
      </c>
      <c r="P141" s="16">
        <f>SUM($N$2:N141)</f>
        <v>22</v>
      </c>
      <c r="Q141" s="16">
        <f>SUM($O$2:O141)</f>
        <v>18</v>
      </c>
      <c r="R141" s="52" t="str">
        <f t="shared" si="20"/>
        <v/>
      </c>
      <c r="S141" s="53" t="str">
        <f t="shared" si="21"/>
        <v/>
      </c>
    </row>
    <row r="142" spans="1:19" x14ac:dyDescent="0.35">
      <c r="A142" s="16">
        <v>1</v>
      </c>
      <c r="B142" s="19">
        <v>141</v>
      </c>
      <c r="C142" s="46">
        <v>1.5509259259259259E-3</v>
      </c>
      <c r="D142" s="16">
        <f t="shared" si="15"/>
        <v>2</v>
      </c>
      <c r="E142" s="16">
        <f t="shared" si="16"/>
        <v>14</v>
      </c>
      <c r="F142" s="19" t="s">
        <v>46</v>
      </c>
      <c r="G142" s="16" t="s">
        <v>35</v>
      </c>
      <c r="H142" s="16" t="str">
        <f>_xlfn.XLOOKUP(G142,'1-Players'!$A$2:$A$27,'1-Players'!$D$2:$D$27,"")</f>
        <v>Grant Golden</v>
      </c>
      <c r="I142" s="19" t="s">
        <v>111</v>
      </c>
      <c r="K142" s="16" t="str" cm="1">
        <f t="array" ref="K142">IFERROR(_xlfn.IFS(I142="Free Throw",1,I142="2-Point Shot",2,I142="Dunk",2,I142="3-Point Shot",3),"")</f>
        <v/>
      </c>
      <c r="L142" s="16" t="str" cm="1">
        <f t="array" ref="L142">IFERROR(_xlfn.IFS(J142="Made",1,J142="Missed",0),"")</f>
        <v/>
      </c>
      <c r="M142" s="16" t="str">
        <f t="shared" si="17"/>
        <v/>
      </c>
      <c r="N142" s="16" t="str">
        <f t="shared" si="18"/>
        <v/>
      </c>
      <c r="O142" s="16" t="str">
        <f t="shared" si="19"/>
        <v/>
      </c>
      <c r="P142" s="16">
        <f>SUM($N$2:N142)</f>
        <v>22</v>
      </c>
      <c r="Q142" s="16">
        <f>SUM($O$2:O142)</f>
        <v>18</v>
      </c>
      <c r="R142" s="52" t="str">
        <f t="shared" si="20"/>
        <v/>
      </c>
      <c r="S142" s="53" t="str">
        <f t="shared" si="21"/>
        <v/>
      </c>
    </row>
    <row r="143" spans="1:19" x14ac:dyDescent="0.35">
      <c r="A143" s="19">
        <v>1</v>
      </c>
      <c r="B143" s="19">
        <v>142</v>
      </c>
      <c r="C143" s="46">
        <v>1.4004629629629629E-3</v>
      </c>
      <c r="D143" s="16">
        <f t="shared" si="15"/>
        <v>2</v>
      </c>
      <c r="E143" s="16">
        <f t="shared" si="16"/>
        <v>1</v>
      </c>
      <c r="F143" s="19" t="s">
        <v>16</v>
      </c>
      <c r="G143" s="16" t="s">
        <v>18</v>
      </c>
      <c r="H143" s="16" t="str">
        <f>_xlfn.XLOOKUP(G143,'1-Players'!$A$2:$A$27,'1-Players'!$D$2:$D$27,"")</f>
        <v>Corey Walden</v>
      </c>
      <c r="I143" s="19" t="s">
        <v>82</v>
      </c>
      <c r="J143" s="19" t="s">
        <v>60</v>
      </c>
      <c r="K143" s="16" cm="1">
        <f t="array" ref="K143">IFERROR(_xlfn.IFS(I143="Free Throw",1,I143="2-Point Shot",2,I143="Dunk",2,I143="3-Point Shot",3),"")</f>
        <v>2</v>
      </c>
      <c r="L143" s="16" cm="1">
        <f t="array" ref="L143">IFERROR(_xlfn.IFS(J143="Made",1,J143="Missed",0),"")</f>
        <v>1</v>
      </c>
      <c r="M143" s="16">
        <f t="shared" si="17"/>
        <v>2</v>
      </c>
      <c r="N143" s="16" t="str">
        <f t="shared" si="18"/>
        <v/>
      </c>
      <c r="O143" s="16">
        <f t="shared" si="19"/>
        <v>2</v>
      </c>
      <c r="P143" s="16">
        <f>SUM($N$2:N143)</f>
        <v>22</v>
      </c>
      <c r="Q143" s="16">
        <f>SUM($O$2:O143)</f>
        <v>20</v>
      </c>
      <c r="R143" s="52" t="str">
        <f t="shared" si="20"/>
        <v>MAN 22 - 20 LLE</v>
      </c>
      <c r="S143" s="53">
        <f t="shared" si="21"/>
        <v>1.4004629629629629E-3</v>
      </c>
    </row>
    <row r="144" spans="1:19" x14ac:dyDescent="0.35">
      <c r="A144" s="16">
        <v>1</v>
      </c>
      <c r="B144" s="19">
        <v>143</v>
      </c>
      <c r="C144" s="46">
        <v>1.4004629629629629E-3</v>
      </c>
      <c r="D144" s="16">
        <f t="shared" si="15"/>
        <v>2</v>
      </c>
      <c r="E144" s="16">
        <f t="shared" si="16"/>
        <v>1</v>
      </c>
      <c r="F144" s="19" t="s">
        <v>46</v>
      </c>
      <c r="G144" s="16" t="s">
        <v>11</v>
      </c>
      <c r="H144" s="16" t="str">
        <f>_xlfn.XLOOKUP(G144,'1-Players'!$A$2:$A$27,'1-Players'!$D$2:$D$27,"")</f>
        <v>Marcis Steinbergs</v>
      </c>
      <c r="I144" s="19" t="s">
        <v>106</v>
      </c>
      <c r="J144" s="19" t="s">
        <v>118</v>
      </c>
      <c r="K144" s="16" t="str" cm="1">
        <f t="array" ref="K144">IFERROR(_xlfn.IFS(I144="Free Throw",1,I144="2-Point Shot",2,I144="Dunk",2,I144="3-Point Shot",3),"")</f>
        <v/>
      </c>
      <c r="L144" s="16" t="str" cm="1">
        <f t="array" ref="L144">IFERROR(_xlfn.IFS(J144="Made",1,J144="Missed",0),"")</f>
        <v/>
      </c>
      <c r="M144" s="16" t="str">
        <f t="shared" si="17"/>
        <v/>
      </c>
      <c r="N144" s="16" t="str">
        <f t="shared" si="18"/>
        <v/>
      </c>
      <c r="O144" s="16" t="str">
        <f t="shared" si="19"/>
        <v/>
      </c>
      <c r="P144" s="16">
        <f>SUM($N$2:N144)</f>
        <v>22</v>
      </c>
      <c r="Q144" s="16">
        <f>SUM($O$2:O144)</f>
        <v>20</v>
      </c>
      <c r="R144" s="52" t="str">
        <f t="shared" si="20"/>
        <v/>
      </c>
      <c r="S144" s="53" t="str">
        <f t="shared" si="21"/>
        <v/>
      </c>
    </row>
    <row r="145" spans="1:19" x14ac:dyDescent="0.35">
      <c r="A145" s="16">
        <v>1</v>
      </c>
      <c r="B145" s="19">
        <v>144</v>
      </c>
      <c r="C145" s="46">
        <v>1.4004629629629629E-3</v>
      </c>
      <c r="D145" s="16">
        <f t="shared" si="15"/>
        <v>2</v>
      </c>
      <c r="E145" s="16">
        <f t="shared" si="16"/>
        <v>1</v>
      </c>
      <c r="F145" s="19" t="s">
        <v>16</v>
      </c>
      <c r="G145" s="16" t="s">
        <v>18</v>
      </c>
      <c r="H145" s="16" t="str">
        <f>_xlfn.XLOOKUP(G145,'1-Players'!$A$2:$A$27,'1-Players'!$D$2:$D$27,"")</f>
        <v>Corey Walden</v>
      </c>
      <c r="I145" s="19" t="s">
        <v>108</v>
      </c>
      <c r="K145" s="16" t="str" cm="1">
        <f t="array" ref="K145">IFERROR(_xlfn.IFS(I145="Free Throw",1,I145="2-Point Shot",2,I145="Dunk",2,I145="3-Point Shot",3),"")</f>
        <v/>
      </c>
      <c r="L145" s="16" t="str" cm="1">
        <f t="array" ref="L145">IFERROR(_xlfn.IFS(J145="Made",1,J145="Missed",0),"")</f>
        <v/>
      </c>
      <c r="M145" s="16" t="str">
        <f t="shared" si="17"/>
        <v/>
      </c>
      <c r="N145" s="16" t="str">
        <f t="shared" si="18"/>
        <v/>
      </c>
      <c r="O145" s="16" t="str">
        <f t="shared" si="19"/>
        <v/>
      </c>
      <c r="P145" s="16">
        <f>SUM($N$2:N145)</f>
        <v>22</v>
      </c>
      <c r="Q145" s="16">
        <f>SUM($O$2:O145)</f>
        <v>20</v>
      </c>
      <c r="R145" s="52" t="str">
        <f t="shared" si="20"/>
        <v/>
      </c>
      <c r="S145" s="53" t="str">
        <f t="shared" si="21"/>
        <v/>
      </c>
    </row>
    <row r="146" spans="1:19" x14ac:dyDescent="0.35">
      <c r="A146" s="19">
        <v>1</v>
      </c>
      <c r="B146" s="19">
        <v>145</v>
      </c>
      <c r="C146" s="46">
        <v>1.4004629629629629E-3</v>
      </c>
      <c r="D146" s="16">
        <f t="shared" si="15"/>
        <v>2</v>
      </c>
      <c r="E146" s="16">
        <f t="shared" si="16"/>
        <v>1</v>
      </c>
      <c r="F146" s="19" t="s">
        <v>16</v>
      </c>
      <c r="G146" s="16" t="s">
        <v>18</v>
      </c>
      <c r="H146" s="16" t="str">
        <f>_xlfn.XLOOKUP(G146,'1-Players'!$A$2:$A$27,'1-Players'!$D$2:$D$27,"")</f>
        <v>Corey Walden</v>
      </c>
      <c r="I146" s="19" t="s">
        <v>85</v>
      </c>
      <c r="J146" s="16" t="s">
        <v>60</v>
      </c>
      <c r="K146" s="16" cm="1">
        <f t="array" ref="K146">IFERROR(_xlfn.IFS(I146="Free Throw",1,I146="2-Point Shot",2,I146="Dunk",2,I146="3-Point Shot",3),"")</f>
        <v>1</v>
      </c>
      <c r="L146" s="16" cm="1">
        <f t="array" ref="L146">IFERROR(_xlfn.IFS(J146="Made",1,J146="Missed",0),"")</f>
        <v>1</v>
      </c>
      <c r="M146" s="16">
        <f t="shared" si="17"/>
        <v>1</v>
      </c>
      <c r="N146" s="16" t="str">
        <f t="shared" si="18"/>
        <v/>
      </c>
      <c r="O146" s="16">
        <f t="shared" si="19"/>
        <v>1</v>
      </c>
      <c r="P146" s="16">
        <f>SUM($N$2:N146)</f>
        <v>22</v>
      </c>
      <c r="Q146" s="16">
        <f>SUM($O$2:O146)</f>
        <v>21</v>
      </c>
      <c r="R146" s="52" t="str">
        <f t="shared" si="20"/>
        <v>MAN 22 - 21 LLE</v>
      </c>
      <c r="S146" s="53">
        <f t="shared" si="21"/>
        <v>1.4004629629629629E-3</v>
      </c>
    </row>
    <row r="147" spans="1:19" x14ac:dyDescent="0.35">
      <c r="A147" s="16">
        <v>1</v>
      </c>
      <c r="B147" s="19">
        <v>146</v>
      </c>
      <c r="C147" s="46">
        <v>1.1921296296296296E-3</v>
      </c>
      <c r="D147" s="16">
        <f t="shared" si="15"/>
        <v>1</v>
      </c>
      <c r="E147" s="16">
        <f t="shared" si="16"/>
        <v>43</v>
      </c>
      <c r="F147" s="19" t="s">
        <v>46</v>
      </c>
      <c r="G147" s="16" t="s">
        <v>9</v>
      </c>
      <c r="H147" s="16" t="str">
        <f>_xlfn.XLOOKUP(G147,'1-Players'!$A$2:$A$27,'1-Players'!$D$2:$D$27,"")</f>
        <v>Agustín Ubal</v>
      </c>
      <c r="I147" s="19" t="s">
        <v>82</v>
      </c>
      <c r="J147" s="19" t="s">
        <v>63</v>
      </c>
      <c r="K147" s="16" cm="1">
        <f t="array" ref="K147">IFERROR(_xlfn.IFS(I147="Free Throw",1,I147="2-Point Shot",2,I147="Dunk",2,I147="3-Point Shot",3),"")</f>
        <v>2</v>
      </c>
      <c r="L147" s="16" cm="1">
        <f t="array" ref="L147">IFERROR(_xlfn.IFS(J147="Made",1,J147="Missed",0),"")</f>
        <v>0</v>
      </c>
      <c r="M147" s="16">
        <f t="shared" si="17"/>
        <v>0</v>
      </c>
      <c r="N147" s="16" t="str">
        <f t="shared" si="18"/>
        <v/>
      </c>
      <c r="O147" s="16" t="str">
        <f t="shared" si="19"/>
        <v/>
      </c>
      <c r="P147" s="16">
        <f>SUM($N$2:N147)</f>
        <v>22</v>
      </c>
      <c r="Q147" s="16">
        <f>SUM($O$2:O147)</f>
        <v>21</v>
      </c>
      <c r="R147" s="52" t="str">
        <f t="shared" si="20"/>
        <v/>
      </c>
      <c r="S147" s="53" t="str">
        <f t="shared" si="21"/>
        <v/>
      </c>
    </row>
    <row r="148" spans="1:19" x14ac:dyDescent="0.35">
      <c r="A148" s="16">
        <v>1</v>
      </c>
      <c r="B148" s="19">
        <v>147</v>
      </c>
      <c r="C148" s="46">
        <v>1.1921296296296296E-3</v>
      </c>
      <c r="D148" s="16">
        <f t="shared" si="15"/>
        <v>1</v>
      </c>
      <c r="E148" s="16">
        <f t="shared" si="16"/>
        <v>43</v>
      </c>
      <c r="F148" s="19" t="s">
        <v>46</v>
      </c>
      <c r="G148" s="16" t="s">
        <v>9</v>
      </c>
      <c r="H148" s="16" t="str">
        <f>_xlfn.XLOOKUP(G148,'1-Players'!$A$2:$A$27,'1-Players'!$D$2:$D$27,"")</f>
        <v>Agustín Ubal</v>
      </c>
      <c r="I148" s="19" t="s">
        <v>86</v>
      </c>
      <c r="K148" s="16" t="str" cm="1">
        <f t="array" ref="K148">IFERROR(_xlfn.IFS(I148="Free Throw",1,I148="2-Point Shot",2,I148="Dunk",2,I148="3-Point Shot",3),"")</f>
        <v/>
      </c>
      <c r="L148" s="16" t="str" cm="1">
        <f t="array" ref="L148">IFERROR(_xlfn.IFS(J148="Made",1,J148="Missed",0),"")</f>
        <v/>
      </c>
      <c r="M148" s="16" t="str">
        <f t="shared" si="17"/>
        <v/>
      </c>
      <c r="N148" s="16" t="str">
        <f t="shared" si="18"/>
        <v/>
      </c>
      <c r="O148" s="16" t="str">
        <f t="shared" si="19"/>
        <v/>
      </c>
      <c r="P148" s="16">
        <f>SUM($N$2:N148)</f>
        <v>22</v>
      </c>
      <c r="Q148" s="16">
        <f>SUM($O$2:O148)</f>
        <v>21</v>
      </c>
      <c r="R148" s="52" t="str">
        <f t="shared" si="20"/>
        <v/>
      </c>
      <c r="S148" s="53" t="str">
        <f t="shared" si="21"/>
        <v/>
      </c>
    </row>
    <row r="149" spans="1:19" x14ac:dyDescent="0.35">
      <c r="A149" s="19">
        <v>1</v>
      </c>
      <c r="B149" s="19">
        <v>148</v>
      </c>
      <c r="C149" s="46">
        <v>1.1921296296296296E-3</v>
      </c>
      <c r="D149" s="16">
        <f t="shared" si="15"/>
        <v>1</v>
      </c>
      <c r="E149" s="16">
        <f t="shared" si="16"/>
        <v>43</v>
      </c>
      <c r="F149" s="19" t="s">
        <v>16</v>
      </c>
      <c r="G149" s="16" t="s">
        <v>43</v>
      </c>
      <c r="H149" s="16" t="str">
        <f>_xlfn.XLOOKUP(G149,'1-Players'!$A$2:$A$27,'1-Players'!$D$2:$D$27,"")</f>
        <v>Cameron Krutwig</v>
      </c>
      <c r="I149" s="19" t="s">
        <v>64</v>
      </c>
      <c r="K149" s="16" t="str" cm="1">
        <f t="array" ref="K149">IFERROR(_xlfn.IFS(I149="Free Throw",1,I149="2-Point Shot",2,I149="Dunk",2,I149="3-Point Shot",3),"")</f>
        <v/>
      </c>
      <c r="L149" s="16" t="str" cm="1">
        <f t="array" ref="L149">IFERROR(_xlfn.IFS(J149="Made",1,J149="Missed",0),"")</f>
        <v/>
      </c>
      <c r="M149" s="16" t="str">
        <f t="shared" si="17"/>
        <v/>
      </c>
      <c r="N149" s="16" t="str">
        <f t="shared" si="18"/>
        <v/>
      </c>
      <c r="O149" s="16" t="str">
        <f t="shared" si="19"/>
        <v/>
      </c>
      <c r="P149" s="16">
        <f>SUM($N$2:N149)</f>
        <v>22</v>
      </c>
      <c r="Q149" s="16">
        <f>SUM($O$2:O149)</f>
        <v>21</v>
      </c>
      <c r="R149" s="52" t="str">
        <f t="shared" si="20"/>
        <v/>
      </c>
      <c r="S149" s="53" t="str">
        <f t="shared" si="21"/>
        <v/>
      </c>
    </row>
    <row r="150" spans="1:19" x14ac:dyDescent="0.35">
      <c r="A150" s="16">
        <v>1</v>
      </c>
      <c r="B150" s="19">
        <v>149</v>
      </c>
      <c r="C150" s="46">
        <v>1.1921296296296296E-3</v>
      </c>
      <c r="D150" s="16">
        <f t="shared" si="15"/>
        <v>1</v>
      </c>
      <c r="E150" s="16">
        <f t="shared" si="16"/>
        <v>43</v>
      </c>
      <c r="F150" s="19" t="s">
        <v>46</v>
      </c>
      <c r="G150" s="16" t="s">
        <v>120</v>
      </c>
      <c r="H150" s="16" t="str">
        <f>_xlfn.XLOOKUP(G150,'1-Players'!$A$2:$A$27,'1-Players'!$D$2:$D$27,"")</f>
        <v>TEAM - Manresa</v>
      </c>
      <c r="I150" s="19" t="s">
        <v>109</v>
      </c>
      <c r="K150" s="16" t="str" cm="1">
        <f t="array" ref="K150">IFERROR(_xlfn.IFS(I150="Free Throw",1,I150="2-Point Shot",2,I150="Dunk",2,I150="3-Point Shot",3),"")</f>
        <v/>
      </c>
      <c r="L150" s="16" t="str" cm="1">
        <f t="array" ref="L150">IFERROR(_xlfn.IFS(J150="Made",1,J150="Missed",0),"")</f>
        <v/>
      </c>
      <c r="M150" s="16" t="str">
        <f t="shared" si="17"/>
        <v/>
      </c>
      <c r="N150" s="16" t="str">
        <f t="shared" si="18"/>
        <v/>
      </c>
      <c r="O150" s="16" t="str">
        <f t="shared" si="19"/>
        <v/>
      </c>
      <c r="P150" s="16">
        <f>SUM($N$2:N150)</f>
        <v>22</v>
      </c>
      <c r="Q150" s="16">
        <f>SUM($O$2:O150)</f>
        <v>21</v>
      </c>
      <c r="R150" s="52" t="str">
        <f t="shared" si="20"/>
        <v/>
      </c>
      <c r="S150" s="53" t="str">
        <f t="shared" si="21"/>
        <v/>
      </c>
    </row>
    <row r="151" spans="1:19" x14ac:dyDescent="0.35">
      <c r="A151" s="16">
        <v>1</v>
      </c>
      <c r="B151" s="19">
        <v>150</v>
      </c>
      <c r="C151" s="46">
        <v>1.1805555555555556E-3</v>
      </c>
      <c r="D151" s="16">
        <f t="shared" si="15"/>
        <v>1</v>
      </c>
      <c r="E151" s="16">
        <f t="shared" si="16"/>
        <v>42</v>
      </c>
      <c r="F151" s="19" t="s">
        <v>46</v>
      </c>
      <c r="G151" s="16" t="s">
        <v>69</v>
      </c>
      <c r="H151" s="16" t="str">
        <f>_xlfn.XLOOKUP(G151,'1-Players'!$A$2:$A$27,'1-Players'!$D$2:$D$27,"")</f>
        <v>Alfonso Plummer</v>
      </c>
      <c r="I151" s="19" t="s">
        <v>83</v>
      </c>
      <c r="J151" s="19" t="s">
        <v>63</v>
      </c>
      <c r="K151" s="16" cm="1">
        <f t="array" ref="K151">IFERROR(_xlfn.IFS(I151="Free Throw",1,I151="2-Point Shot",2,I151="Dunk",2,I151="3-Point Shot",3),"")</f>
        <v>3</v>
      </c>
      <c r="L151" s="16" cm="1">
        <f t="array" ref="L151">IFERROR(_xlfn.IFS(J151="Made",1,J151="Missed",0),"")</f>
        <v>0</v>
      </c>
      <c r="M151" s="16">
        <f t="shared" si="17"/>
        <v>0</v>
      </c>
      <c r="N151" s="16" t="str">
        <f t="shared" si="18"/>
        <v/>
      </c>
      <c r="O151" s="16" t="str">
        <f t="shared" si="19"/>
        <v/>
      </c>
      <c r="P151" s="16">
        <f>SUM($N$2:N151)</f>
        <v>22</v>
      </c>
      <c r="Q151" s="16">
        <f>SUM($O$2:O151)</f>
        <v>21</v>
      </c>
      <c r="R151" s="52" t="str">
        <f t="shared" si="20"/>
        <v/>
      </c>
      <c r="S151" s="53" t="str">
        <f t="shared" si="21"/>
        <v/>
      </c>
    </row>
    <row r="152" spans="1:19" x14ac:dyDescent="0.35">
      <c r="A152" s="19">
        <v>1</v>
      </c>
      <c r="B152" s="19">
        <v>151</v>
      </c>
      <c r="C152" s="46">
        <v>1.1805555555555556E-3</v>
      </c>
      <c r="D152" s="16">
        <f t="shared" si="15"/>
        <v>1</v>
      </c>
      <c r="E152" s="16">
        <f t="shared" si="16"/>
        <v>42</v>
      </c>
      <c r="F152" s="19" t="s">
        <v>46</v>
      </c>
      <c r="G152" s="16" t="s">
        <v>120</v>
      </c>
      <c r="H152" s="16" t="str">
        <f>_xlfn.XLOOKUP(G152,'1-Players'!$A$2:$A$27,'1-Players'!$D$2:$D$27,"")</f>
        <v>TEAM - Manresa</v>
      </c>
      <c r="I152" s="19" t="s">
        <v>109</v>
      </c>
      <c r="K152" s="16" t="str" cm="1">
        <f t="array" ref="K152">IFERROR(_xlfn.IFS(I152="Free Throw",1,I152="2-Point Shot",2,I152="Dunk",2,I152="3-Point Shot",3),"")</f>
        <v/>
      </c>
      <c r="L152" s="16" t="str" cm="1">
        <f t="array" ref="L152">IFERROR(_xlfn.IFS(J152="Made",1,J152="Missed",0),"")</f>
        <v/>
      </c>
      <c r="M152" s="16" t="str">
        <f t="shared" si="17"/>
        <v/>
      </c>
      <c r="N152" s="16" t="str">
        <f t="shared" si="18"/>
        <v/>
      </c>
      <c r="O152" s="16" t="str">
        <f t="shared" si="19"/>
        <v/>
      </c>
      <c r="P152" s="16">
        <f>SUM($N$2:N152)</f>
        <v>22</v>
      </c>
      <c r="Q152" s="16">
        <f>SUM($O$2:O152)</f>
        <v>21</v>
      </c>
      <c r="R152" s="52" t="str">
        <f t="shared" si="20"/>
        <v/>
      </c>
      <c r="S152" s="53" t="str">
        <f t="shared" si="21"/>
        <v/>
      </c>
    </row>
    <row r="153" spans="1:19" x14ac:dyDescent="0.35">
      <c r="A153" s="16">
        <v>1</v>
      </c>
      <c r="B153" s="19">
        <v>152</v>
      </c>
      <c r="C153" s="46">
        <v>1.0185185185185184E-3</v>
      </c>
      <c r="D153" s="16">
        <f t="shared" si="15"/>
        <v>1</v>
      </c>
      <c r="E153" s="16">
        <f t="shared" si="16"/>
        <v>28</v>
      </c>
      <c r="F153" s="19" t="s">
        <v>46</v>
      </c>
      <c r="G153" s="16" t="s">
        <v>68</v>
      </c>
      <c r="H153" s="16" t="str">
        <f>_xlfn.XLOOKUP(G153,'1-Players'!$A$2:$A$27,'1-Players'!$D$2:$D$27,"")</f>
        <v>Dani Pérez</v>
      </c>
      <c r="I153" s="19" t="s">
        <v>82</v>
      </c>
      <c r="J153" s="19" t="s">
        <v>63</v>
      </c>
      <c r="K153" s="16" cm="1">
        <f t="array" ref="K153">IFERROR(_xlfn.IFS(I153="Free Throw",1,I153="2-Point Shot",2,I153="Dunk",2,I153="3-Point Shot",3),"")</f>
        <v>2</v>
      </c>
      <c r="L153" s="16" cm="1">
        <f t="array" ref="L153">IFERROR(_xlfn.IFS(J153="Made",1,J153="Missed",0),"")</f>
        <v>0</v>
      </c>
      <c r="M153" s="16">
        <f t="shared" si="17"/>
        <v>0</v>
      </c>
      <c r="N153" s="16" t="str">
        <f t="shared" si="18"/>
        <v/>
      </c>
      <c r="O153" s="16" t="str">
        <f t="shared" si="19"/>
        <v/>
      </c>
      <c r="P153" s="16">
        <f>SUM($N$2:N153)</f>
        <v>22</v>
      </c>
      <c r="Q153" s="16">
        <f>SUM($O$2:O153)</f>
        <v>21</v>
      </c>
      <c r="R153" s="52" t="str">
        <f t="shared" si="20"/>
        <v/>
      </c>
      <c r="S153" s="53" t="str">
        <f t="shared" si="21"/>
        <v/>
      </c>
    </row>
    <row r="154" spans="1:19" x14ac:dyDescent="0.35">
      <c r="A154" s="16">
        <v>1</v>
      </c>
      <c r="B154" s="19">
        <v>153</v>
      </c>
      <c r="C154" s="46">
        <v>1.0185185185185184E-3</v>
      </c>
      <c r="D154" s="16">
        <f t="shared" si="15"/>
        <v>1</v>
      </c>
      <c r="E154" s="16">
        <f t="shared" si="16"/>
        <v>28</v>
      </c>
      <c r="F154" s="19" t="s">
        <v>46</v>
      </c>
      <c r="G154" s="16" t="s">
        <v>69</v>
      </c>
      <c r="H154" s="16" t="str">
        <f>_xlfn.XLOOKUP(G154,'1-Players'!$A$2:$A$27,'1-Players'!$D$2:$D$27,"")</f>
        <v>Alfonso Plummer</v>
      </c>
      <c r="I154" s="19" t="s">
        <v>109</v>
      </c>
      <c r="K154" s="16" t="str" cm="1">
        <f t="array" ref="K154">IFERROR(_xlfn.IFS(I154="Free Throw",1,I154="2-Point Shot",2,I154="Dunk",2,I154="3-Point Shot",3),"")</f>
        <v/>
      </c>
      <c r="L154" s="16" t="str" cm="1">
        <f t="array" ref="L154">IFERROR(_xlfn.IFS(J154="Made",1,J154="Missed",0),"")</f>
        <v/>
      </c>
      <c r="M154" s="16" t="str">
        <f t="shared" si="17"/>
        <v/>
      </c>
      <c r="N154" s="16" t="str">
        <f t="shared" si="18"/>
        <v/>
      </c>
      <c r="O154" s="16" t="str">
        <f t="shared" si="19"/>
        <v/>
      </c>
      <c r="P154" s="16">
        <f>SUM($N$2:N154)</f>
        <v>22</v>
      </c>
      <c r="Q154" s="16">
        <f>SUM($O$2:O154)</f>
        <v>21</v>
      </c>
      <c r="R154" s="52" t="str">
        <f t="shared" si="20"/>
        <v/>
      </c>
      <c r="S154" s="53" t="str">
        <f t="shared" si="21"/>
        <v/>
      </c>
    </row>
    <row r="155" spans="1:19" x14ac:dyDescent="0.35">
      <c r="A155" s="16">
        <v>1</v>
      </c>
      <c r="B155" s="19">
        <v>154</v>
      </c>
      <c r="C155" s="46">
        <v>1.0185185185185184E-3</v>
      </c>
      <c r="D155" s="16">
        <f t="shared" si="15"/>
        <v>1</v>
      </c>
      <c r="E155" s="16">
        <f t="shared" si="16"/>
        <v>28</v>
      </c>
      <c r="F155" s="19" t="s">
        <v>46</v>
      </c>
      <c r="G155" s="16" t="s">
        <v>69</v>
      </c>
      <c r="H155" s="16" t="str">
        <f>_xlfn.XLOOKUP(G155,'1-Players'!$A$2:$A$27,'1-Players'!$D$2:$D$27,"")</f>
        <v>Alfonso Plummer</v>
      </c>
      <c r="I155" s="19" t="s">
        <v>82</v>
      </c>
      <c r="J155" s="19" t="s">
        <v>60</v>
      </c>
      <c r="K155" s="16" cm="1">
        <f t="array" ref="K155">IFERROR(_xlfn.IFS(I155="Free Throw",1,I155="2-Point Shot",2,I155="Dunk",2,I155="3-Point Shot",3),"")</f>
        <v>2</v>
      </c>
      <c r="L155" s="16" cm="1">
        <f t="array" ref="L155">IFERROR(_xlfn.IFS(J155="Made",1,J155="Missed",0),"")</f>
        <v>1</v>
      </c>
      <c r="M155" s="16">
        <f t="shared" si="17"/>
        <v>2</v>
      </c>
      <c r="N155" s="16">
        <f t="shared" si="18"/>
        <v>2</v>
      </c>
      <c r="O155" s="16" t="str">
        <f t="shared" si="19"/>
        <v/>
      </c>
      <c r="P155" s="16">
        <f>SUM($N$2:N155)</f>
        <v>24</v>
      </c>
      <c r="Q155" s="16">
        <f>SUM($O$2:O155)</f>
        <v>21</v>
      </c>
      <c r="R155" s="52" t="str">
        <f t="shared" si="20"/>
        <v>MAN 24 - 21 LLE</v>
      </c>
      <c r="S155" s="53">
        <f t="shared" si="21"/>
        <v>1.0185185185185184E-3</v>
      </c>
    </row>
    <row r="156" spans="1:19" x14ac:dyDescent="0.35">
      <c r="A156" s="16">
        <v>1</v>
      </c>
      <c r="B156" s="19">
        <v>155</v>
      </c>
      <c r="C156" s="46">
        <v>7.407407407407407E-4</v>
      </c>
      <c r="D156" s="16">
        <f t="shared" si="15"/>
        <v>1</v>
      </c>
      <c r="E156" s="16">
        <f t="shared" si="16"/>
        <v>4</v>
      </c>
      <c r="F156" s="19" t="s">
        <v>16</v>
      </c>
      <c r="G156" s="16" t="s">
        <v>43</v>
      </c>
      <c r="H156" s="16" t="str">
        <f>_xlfn.XLOOKUP(G156,'1-Players'!$A$2:$A$27,'1-Players'!$D$2:$D$27,"")</f>
        <v>Cameron Krutwig</v>
      </c>
      <c r="I156" s="19" t="s">
        <v>82</v>
      </c>
      <c r="J156" s="19" t="s">
        <v>60</v>
      </c>
      <c r="K156" s="16" cm="1">
        <f t="array" ref="K156">IFERROR(_xlfn.IFS(I156="Free Throw",1,I156="2-Point Shot",2,I156="Dunk",2,I156="3-Point Shot",3),"")</f>
        <v>2</v>
      </c>
      <c r="L156" s="16" cm="1">
        <f t="array" ref="L156">IFERROR(_xlfn.IFS(J156="Made",1,J156="Missed",0),"")</f>
        <v>1</v>
      </c>
      <c r="M156" s="16">
        <f t="shared" si="17"/>
        <v>2</v>
      </c>
      <c r="N156" s="16" t="str">
        <f t="shared" si="18"/>
        <v/>
      </c>
      <c r="O156" s="16">
        <f t="shared" si="19"/>
        <v>2</v>
      </c>
      <c r="P156" s="16">
        <f>SUM($N$2:N156)</f>
        <v>24</v>
      </c>
      <c r="Q156" s="16">
        <f>SUM($O$2:O156)</f>
        <v>23</v>
      </c>
      <c r="R156" s="52" t="str">
        <f t="shared" si="20"/>
        <v>MAN 24 - 23 LLE</v>
      </c>
      <c r="S156" s="53">
        <f t="shared" si="21"/>
        <v>7.407407407407407E-4</v>
      </c>
    </row>
    <row r="157" spans="1:19" x14ac:dyDescent="0.35">
      <c r="A157" s="16">
        <v>1</v>
      </c>
      <c r="B157" s="19">
        <v>156</v>
      </c>
      <c r="C157" s="46">
        <v>7.407407407407407E-4</v>
      </c>
      <c r="D157" s="16">
        <f t="shared" si="15"/>
        <v>1</v>
      </c>
      <c r="E157" s="16">
        <f t="shared" si="16"/>
        <v>4</v>
      </c>
      <c r="F157" s="19" t="s">
        <v>16</v>
      </c>
      <c r="G157" s="16" t="s">
        <v>39</v>
      </c>
      <c r="H157" s="16" t="str">
        <f>_xlfn.XLOOKUP(G157,'1-Players'!$A$2:$A$27,'1-Players'!$D$2:$D$27,"")</f>
        <v>Millán Jiménez</v>
      </c>
      <c r="I157" s="19" t="s">
        <v>61</v>
      </c>
      <c r="K157" s="16" t="str" cm="1">
        <f t="array" ref="K157">IFERROR(_xlfn.IFS(I157="Free Throw",1,I157="2-Point Shot",2,I157="Dunk",2,I157="3-Point Shot",3),"")</f>
        <v/>
      </c>
      <c r="L157" s="16" t="str" cm="1">
        <f t="array" ref="L157">IFERROR(_xlfn.IFS(J157="Made",1,J157="Missed",0),"")</f>
        <v/>
      </c>
      <c r="M157" s="16" t="str">
        <f t="shared" si="17"/>
        <v/>
      </c>
      <c r="N157" s="16" t="str">
        <f t="shared" si="18"/>
        <v/>
      </c>
      <c r="O157" s="16" t="str">
        <f t="shared" si="19"/>
        <v/>
      </c>
      <c r="P157" s="16">
        <f>SUM($N$2:N157)</f>
        <v>24</v>
      </c>
      <c r="Q157" s="16">
        <f>SUM($O$2:O157)</f>
        <v>23</v>
      </c>
      <c r="R157" s="52" t="str">
        <f t="shared" si="20"/>
        <v/>
      </c>
      <c r="S157" s="53" t="str">
        <f t="shared" si="21"/>
        <v/>
      </c>
    </row>
    <row r="158" spans="1:19" x14ac:dyDescent="0.35">
      <c r="A158" s="16">
        <v>1</v>
      </c>
      <c r="B158" s="19">
        <v>157</v>
      </c>
      <c r="C158" s="46">
        <v>5.3240740740740744E-4</v>
      </c>
      <c r="D158" s="16">
        <f t="shared" si="15"/>
        <v>0</v>
      </c>
      <c r="E158" s="16">
        <f t="shared" si="16"/>
        <v>46</v>
      </c>
      <c r="F158" s="19" t="s">
        <v>46</v>
      </c>
      <c r="G158" s="16" t="s">
        <v>69</v>
      </c>
      <c r="H158" s="16" t="str">
        <f>_xlfn.XLOOKUP(G158,'1-Players'!$A$2:$A$27,'1-Players'!$D$2:$D$27,"")</f>
        <v>Alfonso Plummer</v>
      </c>
      <c r="I158" s="19" t="s">
        <v>112</v>
      </c>
      <c r="J158" s="19" t="s">
        <v>113</v>
      </c>
      <c r="K158" s="16" t="str" cm="1">
        <f t="array" ref="K158">IFERROR(_xlfn.IFS(I158="Free Throw",1,I158="2-Point Shot",2,I158="Dunk",2,I158="3-Point Shot",3),"")</f>
        <v/>
      </c>
      <c r="L158" s="16" t="str" cm="1">
        <f t="array" ref="L158">IFERROR(_xlfn.IFS(J158="Made",1,J158="Missed",0),"")</f>
        <v/>
      </c>
      <c r="M158" s="16" t="str">
        <f t="shared" si="17"/>
        <v/>
      </c>
      <c r="N158" s="16" t="str">
        <f t="shared" si="18"/>
        <v/>
      </c>
      <c r="O158" s="16" t="str">
        <f t="shared" si="19"/>
        <v/>
      </c>
      <c r="P158" s="16">
        <f>SUM($N$2:N158)</f>
        <v>24</v>
      </c>
      <c r="Q158" s="16">
        <f>SUM($O$2:O158)</f>
        <v>23</v>
      </c>
      <c r="R158" s="52" t="str">
        <f t="shared" si="20"/>
        <v/>
      </c>
      <c r="S158" s="53" t="str">
        <f t="shared" si="21"/>
        <v/>
      </c>
    </row>
    <row r="159" spans="1:19" x14ac:dyDescent="0.35">
      <c r="A159" s="16">
        <v>1</v>
      </c>
      <c r="B159" s="19">
        <v>158</v>
      </c>
      <c r="C159" s="46">
        <v>5.3240740740740744E-4</v>
      </c>
      <c r="D159" s="16">
        <f t="shared" si="15"/>
        <v>0</v>
      </c>
      <c r="E159" s="16">
        <f t="shared" si="16"/>
        <v>46</v>
      </c>
      <c r="F159" s="19" t="s">
        <v>16</v>
      </c>
      <c r="G159" s="16" t="s">
        <v>43</v>
      </c>
      <c r="H159" s="16" t="str">
        <f>_xlfn.XLOOKUP(G159,'1-Players'!$A$2:$A$27,'1-Players'!$D$2:$D$27,"")</f>
        <v>Cameron Krutwig</v>
      </c>
      <c r="I159" s="19" t="s">
        <v>115</v>
      </c>
      <c r="K159" s="16" t="str" cm="1">
        <f t="array" ref="K159">IFERROR(_xlfn.IFS(I159="Free Throw",1,I159="2-Point Shot",2,I159="Dunk",2,I159="3-Point Shot",3),"")</f>
        <v/>
      </c>
      <c r="L159" s="16" t="str" cm="1">
        <f t="array" ref="L159">IFERROR(_xlfn.IFS(J159="Made",1,J159="Missed",0),"")</f>
        <v/>
      </c>
      <c r="M159" s="16" t="str">
        <f t="shared" si="17"/>
        <v/>
      </c>
      <c r="N159" s="16" t="str">
        <f t="shared" si="18"/>
        <v/>
      </c>
      <c r="O159" s="16" t="str">
        <f t="shared" si="19"/>
        <v/>
      </c>
      <c r="P159" s="16">
        <f>SUM($N$2:N159)</f>
        <v>24</v>
      </c>
      <c r="Q159" s="16">
        <f>SUM($O$2:O159)</f>
        <v>23</v>
      </c>
      <c r="R159" s="52" t="str">
        <f t="shared" si="20"/>
        <v/>
      </c>
      <c r="S159" s="53" t="str">
        <f t="shared" si="21"/>
        <v/>
      </c>
    </row>
    <row r="160" spans="1:19" x14ac:dyDescent="0.35">
      <c r="A160" s="16">
        <v>1</v>
      </c>
      <c r="B160" s="19">
        <v>159</v>
      </c>
      <c r="C160" s="46">
        <v>3.8194444444444446E-4</v>
      </c>
      <c r="D160" s="16">
        <f t="shared" si="15"/>
        <v>0</v>
      </c>
      <c r="E160" s="16">
        <f t="shared" si="16"/>
        <v>33</v>
      </c>
      <c r="F160" s="19" t="s">
        <v>16</v>
      </c>
      <c r="G160" s="16" t="s">
        <v>18</v>
      </c>
      <c r="H160" s="16" t="str">
        <f>_xlfn.XLOOKUP(G160,'1-Players'!$A$2:$A$27,'1-Players'!$D$2:$D$27,"")</f>
        <v>Corey Walden</v>
      </c>
      <c r="I160" s="19" t="s">
        <v>82</v>
      </c>
      <c r="J160" s="19" t="s">
        <v>60</v>
      </c>
      <c r="K160" s="16" cm="1">
        <f t="array" ref="K160">IFERROR(_xlfn.IFS(I160="Free Throw",1,I160="2-Point Shot",2,I160="Dunk",2,I160="3-Point Shot",3),"")</f>
        <v>2</v>
      </c>
      <c r="L160" s="16" cm="1">
        <f t="array" ref="L160">IFERROR(_xlfn.IFS(J160="Made",1,J160="Missed",0),"")</f>
        <v>1</v>
      </c>
      <c r="M160" s="16">
        <f t="shared" si="17"/>
        <v>2</v>
      </c>
      <c r="N160" s="16" t="str">
        <f t="shared" si="18"/>
        <v/>
      </c>
      <c r="O160" s="16">
        <f t="shared" si="19"/>
        <v>2</v>
      </c>
      <c r="P160" s="16">
        <f>SUM($N$2:N160)</f>
        <v>24</v>
      </c>
      <c r="Q160" s="16">
        <f>SUM($O$2:O160)</f>
        <v>25</v>
      </c>
      <c r="R160" s="52" t="str">
        <f t="shared" si="20"/>
        <v>MAN 24 - 25 LLE</v>
      </c>
      <c r="S160" s="53">
        <f t="shared" si="21"/>
        <v>3.8194444444444446E-4</v>
      </c>
    </row>
    <row r="161" spans="1:19" x14ac:dyDescent="0.35">
      <c r="A161" s="16">
        <v>1</v>
      </c>
      <c r="B161" s="19">
        <v>160</v>
      </c>
      <c r="C161" s="46">
        <v>1.0416666666666667E-4</v>
      </c>
      <c r="D161" s="16">
        <f t="shared" si="15"/>
        <v>0</v>
      </c>
      <c r="E161" s="16">
        <f t="shared" si="16"/>
        <v>9</v>
      </c>
      <c r="F161" s="19" t="s">
        <v>46</v>
      </c>
      <c r="G161" s="16" t="s">
        <v>68</v>
      </c>
      <c r="H161" s="16" t="str">
        <f>_xlfn.XLOOKUP(G161,'1-Players'!$A$2:$A$27,'1-Players'!$D$2:$D$27,"")</f>
        <v>Dani Pérez</v>
      </c>
      <c r="I161" s="19" t="s">
        <v>83</v>
      </c>
      <c r="J161" s="19" t="s">
        <v>60</v>
      </c>
      <c r="K161" s="16" cm="1">
        <f t="array" ref="K161">IFERROR(_xlfn.IFS(I161="Free Throw",1,I161="2-Point Shot",2,I161="Dunk",2,I161="3-Point Shot",3),"")</f>
        <v>3</v>
      </c>
      <c r="L161" s="16" cm="1">
        <f t="array" ref="L161">IFERROR(_xlfn.IFS(J161="Made",1,J161="Missed",0),"")</f>
        <v>1</v>
      </c>
      <c r="M161" s="16">
        <f t="shared" si="17"/>
        <v>3</v>
      </c>
      <c r="N161" s="16">
        <f t="shared" si="18"/>
        <v>3</v>
      </c>
      <c r="O161" s="16" t="str">
        <f t="shared" si="19"/>
        <v/>
      </c>
      <c r="P161" s="16">
        <f>SUM($N$2:N161)</f>
        <v>27</v>
      </c>
      <c r="Q161" s="16">
        <f>SUM($O$2:O161)</f>
        <v>25</v>
      </c>
      <c r="R161" s="52" t="str">
        <f t="shared" si="20"/>
        <v>MAN 27 - 25 LLE</v>
      </c>
      <c r="S161" s="53">
        <f t="shared" si="21"/>
        <v>1.0416666666666667E-4</v>
      </c>
    </row>
    <row r="162" spans="1:19" x14ac:dyDescent="0.35">
      <c r="A162" s="16">
        <v>1</v>
      </c>
      <c r="B162" s="19">
        <v>161</v>
      </c>
      <c r="C162" s="46">
        <v>1.1574074074074073E-5</v>
      </c>
      <c r="D162" s="16">
        <f t="shared" si="15"/>
        <v>0</v>
      </c>
      <c r="E162" s="16">
        <f t="shared" si="16"/>
        <v>1</v>
      </c>
      <c r="F162" s="19" t="s">
        <v>16</v>
      </c>
      <c r="G162" s="16" t="s">
        <v>22</v>
      </c>
      <c r="H162" s="16" t="str">
        <f>_xlfn.XLOOKUP(G162,'1-Players'!$A$2:$A$27,'1-Players'!$D$2:$D$27,"")</f>
        <v>Oriol Paulí</v>
      </c>
      <c r="I162" s="19" t="s">
        <v>82</v>
      </c>
      <c r="J162" s="19" t="s">
        <v>63</v>
      </c>
      <c r="K162" s="16" cm="1">
        <f t="array" ref="K162">IFERROR(_xlfn.IFS(I162="Free Throw",1,I162="2-Point Shot",2,I162="Dunk",2,I162="3-Point Shot",3),"")</f>
        <v>2</v>
      </c>
      <c r="L162" s="16" cm="1">
        <f t="array" ref="L162">IFERROR(_xlfn.IFS(J162="Made",1,J162="Missed",0),"")</f>
        <v>0</v>
      </c>
      <c r="M162" s="16">
        <f t="shared" si="17"/>
        <v>0</v>
      </c>
      <c r="N162" s="16" t="str">
        <f t="shared" si="18"/>
        <v/>
      </c>
      <c r="O162" s="16" t="str">
        <f t="shared" si="19"/>
        <v/>
      </c>
      <c r="P162" s="16">
        <f>SUM($N$2:N162)</f>
        <v>27</v>
      </c>
      <c r="Q162" s="16">
        <f>SUM($O$2:O162)</f>
        <v>25</v>
      </c>
      <c r="R162" s="52" t="str">
        <f t="shared" si="20"/>
        <v/>
      </c>
      <c r="S162" s="53" t="str">
        <f t="shared" si="21"/>
        <v/>
      </c>
    </row>
    <row r="163" spans="1:19" x14ac:dyDescent="0.35">
      <c r="A163" s="16">
        <v>1</v>
      </c>
      <c r="B163" s="19">
        <v>162</v>
      </c>
      <c r="C163" s="46">
        <v>1.1574074074074073E-5</v>
      </c>
      <c r="D163" s="16">
        <f t="shared" si="15"/>
        <v>0</v>
      </c>
      <c r="E163" s="16">
        <f t="shared" si="16"/>
        <v>1</v>
      </c>
      <c r="F163" s="19" t="s">
        <v>16</v>
      </c>
      <c r="G163" s="16" t="s">
        <v>39</v>
      </c>
      <c r="H163" s="16" t="str">
        <f>_xlfn.XLOOKUP(G163,'1-Players'!$A$2:$A$27,'1-Players'!$D$2:$D$27,"")</f>
        <v>Millán Jiménez</v>
      </c>
      <c r="I163" s="19" t="s">
        <v>109</v>
      </c>
      <c r="K163" s="16" t="str" cm="1">
        <f t="array" ref="K163">IFERROR(_xlfn.IFS(I163="Free Throw",1,I163="2-Point Shot",2,I163="Dunk",2,I163="3-Point Shot",3),"")</f>
        <v/>
      </c>
      <c r="L163" s="16" t="str" cm="1">
        <f t="array" ref="L163">IFERROR(_xlfn.IFS(J163="Made",1,J163="Missed",0),"")</f>
        <v/>
      </c>
      <c r="M163" s="16" t="str">
        <f t="shared" si="17"/>
        <v/>
      </c>
      <c r="N163" s="16" t="str">
        <f t="shared" si="18"/>
        <v/>
      </c>
      <c r="O163" s="16" t="str">
        <f t="shared" si="19"/>
        <v/>
      </c>
      <c r="P163" s="16">
        <f>SUM($N$2:N163)</f>
        <v>27</v>
      </c>
      <c r="Q163" s="16">
        <f>SUM($O$2:O163)</f>
        <v>25</v>
      </c>
      <c r="R163" s="52" t="str">
        <f t="shared" si="20"/>
        <v/>
      </c>
      <c r="S163" s="53" t="str">
        <f t="shared" si="21"/>
        <v/>
      </c>
    </row>
    <row r="164" spans="1:19" x14ac:dyDescent="0.35">
      <c r="A164" s="16">
        <v>1</v>
      </c>
      <c r="B164" s="19">
        <v>163</v>
      </c>
      <c r="C164" s="46">
        <v>0</v>
      </c>
      <c r="D164" s="16">
        <f t="shared" si="15"/>
        <v>0</v>
      </c>
      <c r="E164" s="16">
        <f t="shared" si="16"/>
        <v>0</v>
      </c>
      <c r="F164" s="19" t="s">
        <v>16</v>
      </c>
      <c r="G164" s="16" t="s">
        <v>39</v>
      </c>
      <c r="H164" s="16" t="str">
        <f>_xlfn.XLOOKUP(G164,'1-Players'!$A$2:$A$27,'1-Players'!$D$2:$D$27,"")</f>
        <v>Millán Jiménez</v>
      </c>
      <c r="I164" s="19" t="s">
        <v>82</v>
      </c>
      <c r="J164" s="19" t="s">
        <v>60</v>
      </c>
      <c r="K164" s="16" cm="1">
        <f t="array" ref="K164">IFERROR(_xlfn.IFS(I164="Free Throw",1,I164="2-Point Shot",2,I164="Dunk",2,I164="3-Point Shot",3),"")</f>
        <v>2</v>
      </c>
      <c r="L164" s="16" cm="1">
        <f t="array" ref="L164">IFERROR(_xlfn.IFS(J164="Made",1,J164="Missed",0),"")</f>
        <v>1</v>
      </c>
      <c r="M164" s="16">
        <f t="shared" si="17"/>
        <v>2</v>
      </c>
      <c r="N164" s="16" t="str">
        <f t="shared" si="18"/>
        <v/>
      </c>
      <c r="O164" s="16">
        <f t="shared" si="19"/>
        <v>2</v>
      </c>
      <c r="P164" s="16">
        <f>SUM($N$2:N164)</f>
        <v>27</v>
      </c>
      <c r="Q164" s="16">
        <f>SUM($O$2:O164)</f>
        <v>27</v>
      </c>
      <c r="R164" s="52" t="str">
        <f t="shared" si="20"/>
        <v>MAN 27 - 27 LLE</v>
      </c>
      <c r="S164" s="53">
        <f t="shared" si="21"/>
        <v>0</v>
      </c>
    </row>
    <row r="165" spans="1:19" x14ac:dyDescent="0.35">
      <c r="B165" s="19"/>
      <c r="P165" s="16" t="str">
        <f>IF(N165="","",SUM($N$2:N165))</f>
        <v/>
      </c>
      <c r="Q165" s="16" t="str">
        <f>IF(O165="","",SUM($O$2:O165))</f>
        <v/>
      </c>
    </row>
    <row r="166" spans="1:19" x14ac:dyDescent="0.35">
      <c r="A166" s="15"/>
      <c r="B166" s="15"/>
    </row>
    <row r="167" spans="1:19" x14ac:dyDescent="0.35">
      <c r="B167" s="19"/>
    </row>
    <row r="168" spans="1:19" x14ac:dyDescent="0.35">
      <c r="B168" s="19"/>
      <c r="F168" s="19"/>
    </row>
    <row r="169" spans="1:19" x14ac:dyDescent="0.35">
      <c r="B169" s="19"/>
    </row>
    <row r="170" spans="1:19" x14ac:dyDescent="0.35">
      <c r="B170" s="19"/>
    </row>
    <row r="171" spans="1:19" x14ac:dyDescent="0.35">
      <c r="B171" s="19"/>
    </row>
    <row r="172" spans="1:19" x14ac:dyDescent="0.35">
      <c r="B172" s="19"/>
    </row>
    <row r="173" spans="1:19" x14ac:dyDescent="0.35">
      <c r="B173" s="19"/>
    </row>
    <row r="174" spans="1:19" x14ac:dyDescent="0.35">
      <c r="B174" s="19"/>
    </row>
    <row r="175" spans="1:19" x14ac:dyDescent="0.35">
      <c r="B175" s="19"/>
    </row>
    <row r="176" spans="1:19" x14ac:dyDescent="0.35">
      <c r="B176" s="19"/>
    </row>
    <row r="177" spans="1:10" x14ac:dyDescent="0.35">
      <c r="B177" s="19"/>
    </row>
    <row r="179" spans="1:10" x14ac:dyDescent="0.35">
      <c r="A179" s="15"/>
      <c r="B179" s="15"/>
    </row>
    <row r="180" spans="1:10" x14ac:dyDescent="0.35">
      <c r="B180" s="19"/>
      <c r="F180" s="19"/>
    </row>
    <row r="181" spans="1:10" x14ac:dyDescent="0.35">
      <c r="B181" s="19"/>
      <c r="J181" s="19"/>
    </row>
    <row r="182" spans="1:10" x14ac:dyDescent="0.35">
      <c r="B182" s="19"/>
      <c r="J182" s="10"/>
    </row>
    <row r="183" spans="1:10" x14ac:dyDescent="0.35">
      <c r="B183" s="19"/>
      <c r="J183" s="10"/>
    </row>
    <row r="184" spans="1:10" x14ac:dyDescent="0.35">
      <c r="B184" s="19"/>
      <c r="J184" s="10"/>
    </row>
    <row r="185" spans="1:10" x14ac:dyDescent="0.35">
      <c r="B185" s="19"/>
      <c r="J185" s="10"/>
    </row>
    <row r="186" spans="1:10" x14ac:dyDescent="0.35">
      <c r="B186" s="19"/>
      <c r="J186" s="10"/>
    </row>
    <row r="187" spans="1:10" x14ac:dyDescent="0.35">
      <c r="B187" s="19"/>
      <c r="J187" s="10"/>
    </row>
    <row r="188" spans="1:10" x14ac:dyDescent="0.35">
      <c r="B188" s="19"/>
      <c r="J188" s="10"/>
    </row>
    <row r="189" spans="1:10" x14ac:dyDescent="0.35">
      <c r="B189" s="19"/>
      <c r="J189" s="10"/>
    </row>
    <row r="190" spans="1:10" x14ac:dyDescent="0.35">
      <c r="B190" s="19"/>
      <c r="F190" s="19"/>
      <c r="I190" s="19"/>
      <c r="J190" s="19"/>
    </row>
    <row r="191" spans="1:10" x14ac:dyDescent="0.35">
      <c r="B191" s="19"/>
      <c r="F191" s="19"/>
      <c r="J191" s="10"/>
    </row>
    <row r="192" spans="1:10" x14ac:dyDescent="0.35">
      <c r="B192" s="19"/>
      <c r="J192" s="10"/>
    </row>
    <row r="193" spans="2:10" x14ac:dyDescent="0.35">
      <c r="B193" s="19"/>
      <c r="J193" s="10"/>
    </row>
    <row r="194" spans="2:10" x14ac:dyDescent="0.35">
      <c r="B194" s="19"/>
    </row>
    <row r="195" spans="2:10" x14ac:dyDescent="0.35">
      <c r="B195" s="19"/>
    </row>
    <row r="196" spans="2:10" x14ac:dyDescent="0.35">
      <c r="B196" s="19"/>
    </row>
    <row r="197" spans="2:10" x14ac:dyDescent="0.35">
      <c r="B197" s="19"/>
    </row>
    <row r="198" spans="2:10" x14ac:dyDescent="0.35">
      <c r="B198" s="19"/>
    </row>
    <row r="199" spans="2:10" x14ac:dyDescent="0.35">
      <c r="B199" s="19"/>
    </row>
    <row r="200" spans="2:10" x14ac:dyDescent="0.35">
      <c r="B200" s="19"/>
    </row>
    <row r="201" spans="2:10" x14ac:dyDescent="0.35">
      <c r="B201" s="19"/>
      <c r="F201" s="19"/>
    </row>
    <row r="202" spans="2:10" x14ac:dyDescent="0.35">
      <c r="B202" s="19"/>
    </row>
    <row r="203" spans="2:10" x14ac:dyDescent="0.35">
      <c r="B203" s="19"/>
    </row>
    <row r="204" spans="2:10" x14ac:dyDescent="0.35">
      <c r="B204" s="19"/>
    </row>
    <row r="205" spans="2:10" x14ac:dyDescent="0.35">
      <c r="B205" s="19"/>
    </row>
    <row r="206" spans="2:10" x14ac:dyDescent="0.35">
      <c r="B206" s="19"/>
    </row>
    <row r="207" spans="2:10" x14ac:dyDescent="0.35">
      <c r="B207" s="19"/>
    </row>
    <row r="208" spans="2:10" x14ac:dyDescent="0.35">
      <c r="B208" s="19"/>
    </row>
    <row r="209" spans="2:10" x14ac:dyDescent="0.35">
      <c r="B209" s="19"/>
    </row>
    <row r="210" spans="2:10" x14ac:dyDescent="0.35">
      <c r="B210" s="19"/>
    </row>
    <row r="211" spans="2:10" x14ac:dyDescent="0.35">
      <c r="B211" s="19"/>
      <c r="F211" s="19"/>
      <c r="I211" s="19"/>
      <c r="J211" s="19"/>
    </row>
    <row r="212" spans="2:10" x14ac:dyDescent="0.35">
      <c r="B212" s="19"/>
      <c r="F212" s="19"/>
    </row>
    <row r="213" spans="2:10" x14ac:dyDescent="0.35">
      <c r="B213" s="19"/>
    </row>
    <row r="214" spans="2:10" x14ac:dyDescent="0.35">
      <c r="B214" s="19"/>
    </row>
    <row r="215" spans="2:10" x14ac:dyDescent="0.35">
      <c r="B215" s="19"/>
    </row>
    <row r="216" spans="2:10" x14ac:dyDescent="0.35">
      <c r="B216" s="19"/>
    </row>
    <row r="217" spans="2:10" x14ac:dyDescent="0.35">
      <c r="B217" s="19"/>
    </row>
    <row r="218" spans="2:10" x14ac:dyDescent="0.35">
      <c r="B218" s="19"/>
    </row>
    <row r="219" spans="2:10" x14ac:dyDescent="0.35">
      <c r="B219" s="19"/>
    </row>
    <row r="220" spans="2:10" x14ac:dyDescent="0.35">
      <c r="B220" s="19"/>
    </row>
    <row r="221" spans="2:10" x14ac:dyDescent="0.35">
      <c r="B221" s="19"/>
    </row>
    <row r="222" spans="2:10" x14ac:dyDescent="0.35">
      <c r="B222" s="19"/>
      <c r="F222" s="19"/>
    </row>
    <row r="223" spans="2:10" x14ac:dyDescent="0.35">
      <c r="B223" s="19"/>
    </row>
    <row r="224" spans="2:10" x14ac:dyDescent="0.35">
      <c r="B224" s="19"/>
    </row>
    <row r="225" spans="2:10" x14ac:dyDescent="0.35">
      <c r="B225" s="19"/>
    </row>
    <row r="226" spans="2:10" x14ac:dyDescent="0.35">
      <c r="B226" s="19"/>
    </row>
    <row r="227" spans="2:10" x14ac:dyDescent="0.35">
      <c r="B227" s="19"/>
    </row>
    <row r="228" spans="2:10" x14ac:dyDescent="0.35">
      <c r="B228" s="19"/>
    </row>
    <row r="229" spans="2:10" x14ac:dyDescent="0.35">
      <c r="B229" s="19"/>
    </row>
    <row r="230" spans="2:10" x14ac:dyDescent="0.35">
      <c r="B230" s="19"/>
    </row>
    <row r="231" spans="2:10" x14ac:dyDescent="0.35">
      <c r="B231" s="19"/>
    </row>
    <row r="232" spans="2:10" x14ac:dyDescent="0.35">
      <c r="B232" s="19"/>
      <c r="F232" s="19"/>
      <c r="I232" s="19"/>
      <c r="J232" s="19"/>
    </row>
    <row r="233" spans="2:10" x14ac:dyDescent="0.35">
      <c r="B233" s="19"/>
      <c r="F233" s="19"/>
    </row>
    <row r="234" spans="2:10" x14ac:dyDescent="0.35">
      <c r="B234" s="19"/>
    </row>
    <row r="235" spans="2:10" x14ac:dyDescent="0.35">
      <c r="B235" s="19"/>
    </row>
    <row r="236" spans="2:10" x14ac:dyDescent="0.35">
      <c r="B236" s="19"/>
    </row>
    <row r="237" spans="2:10" x14ac:dyDescent="0.35">
      <c r="B237" s="19"/>
    </row>
    <row r="238" spans="2:10" x14ac:dyDescent="0.35">
      <c r="B238" s="19"/>
    </row>
    <row r="239" spans="2:10" x14ac:dyDescent="0.35">
      <c r="B239" s="19"/>
    </row>
    <row r="240" spans="2:10" x14ac:dyDescent="0.35">
      <c r="B240" s="19"/>
    </row>
    <row r="241" spans="2:2" x14ac:dyDescent="0.35">
      <c r="B241" s="19"/>
    </row>
    <row r="242" spans="2:2" x14ac:dyDescent="0.35">
      <c r="B242" s="19"/>
    </row>
  </sheetData>
  <autoFilter ref="C1:M179" xr:uid="{5C54AC90-15B3-4FEA-BFFD-480E66C89DDC}"/>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2A7DB-DE51-45B0-B6F3-17BF66423BDA}">
  <dimension ref="A1:E35"/>
  <sheetViews>
    <sheetView topLeftCell="A11" zoomScale="75" workbookViewId="0">
      <selection activeCell="W45" sqref="W45"/>
    </sheetView>
  </sheetViews>
  <sheetFormatPr baseColWidth="10" defaultRowHeight="14.5" x14ac:dyDescent="0.35"/>
  <cols>
    <col min="1" max="1" width="16.6328125" style="16" customWidth="1"/>
    <col min="2" max="2" width="19.453125" style="16" customWidth="1"/>
    <col min="3" max="3" width="17.1796875" style="16" customWidth="1"/>
    <col min="4" max="4" width="31" style="50" customWidth="1"/>
    <col min="5" max="5" width="18.54296875" style="16" customWidth="1"/>
    <col min="6" max="16384" width="10.90625" style="16"/>
  </cols>
  <sheetData>
    <row r="1" spans="1:5" x14ac:dyDescent="0.35">
      <c r="A1" s="16" t="str" cm="1">
        <f t="array" ref="A1:D35">_xlfn._xlws.FILTER('6-MARCADOR_1Q'!P:S,'6-MARCADOR_1Q'!R:R&lt;&gt;"")</f>
        <v>PTS_MAN_Acum</v>
      </c>
      <c r="B1" s="16" t="str">
        <v>PTS_Lleida_Acum</v>
      </c>
      <c r="C1" s="16" t="str">
        <v>MARCADOR</v>
      </c>
      <c r="D1" s="50" t="str">
        <v>Tiempo_Cambio_Marcador</v>
      </c>
      <c r="E1" s="16" t="s">
        <v>173</v>
      </c>
    </row>
    <row r="2" spans="1:5" x14ac:dyDescent="0.35">
      <c r="A2" s="16">
        <v>0</v>
      </c>
      <c r="B2" s="16" t="str">
        <v>0</v>
      </c>
      <c r="C2" s="16" t="str">
        <v>MAN 0 - 0 LLE</v>
      </c>
      <c r="D2" s="50">
        <v>6.9444444444444441E-3</v>
      </c>
      <c r="E2" s="50">
        <f xml:space="preserve"> TIMEVALUE("00:10:00")-D2</f>
        <v>0</v>
      </c>
    </row>
    <row r="3" spans="1:5" x14ac:dyDescent="0.35">
      <c r="A3" s="16">
        <v>2</v>
      </c>
      <c r="B3" s="16">
        <v>0</v>
      </c>
      <c r="C3" s="16" t="str">
        <v>MAN 2 - 0 LLE</v>
      </c>
      <c r="D3" s="50">
        <v>6.7129629629629631E-3</v>
      </c>
      <c r="E3" s="50">
        <f t="shared" ref="E3:E35" si="0" xml:space="preserve"> TIMEVALUE("00:10:00")-D3</f>
        <v>2.3148148148148095E-4</v>
      </c>
    </row>
    <row r="4" spans="1:5" x14ac:dyDescent="0.35">
      <c r="A4" s="16">
        <v>2</v>
      </c>
      <c r="B4" s="16">
        <v>2</v>
      </c>
      <c r="C4" s="16" t="str">
        <v>MAN 2 - 2 LLE</v>
      </c>
      <c r="D4" s="50">
        <v>6.4351851851851853E-3</v>
      </c>
      <c r="E4" s="50">
        <f t="shared" si="0"/>
        <v>5.0925925925925878E-4</v>
      </c>
    </row>
    <row r="5" spans="1:5" x14ac:dyDescent="0.35">
      <c r="A5" s="16">
        <v>4</v>
      </c>
      <c r="B5" s="16">
        <v>2</v>
      </c>
      <c r="C5" s="16" t="str">
        <v>MAN 4 - 2 LLE</v>
      </c>
      <c r="D5" s="50">
        <v>6.3310185185185188E-3</v>
      </c>
      <c r="E5" s="50">
        <f t="shared" si="0"/>
        <v>6.1342592592592525E-4</v>
      </c>
    </row>
    <row r="6" spans="1:5" x14ac:dyDescent="0.35">
      <c r="A6" s="16">
        <v>4</v>
      </c>
      <c r="B6" s="16">
        <v>4</v>
      </c>
      <c r="C6" s="16" t="str">
        <v>MAN 4 - 4 LLE</v>
      </c>
      <c r="D6" s="50">
        <v>6.145833333333333E-3</v>
      </c>
      <c r="E6" s="50">
        <f t="shared" si="0"/>
        <v>7.9861111111111105E-4</v>
      </c>
    </row>
    <row r="7" spans="1:5" x14ac:dyDescent="0.35">
      <c r="A7" s="16">
        <v>7</v>
      </c>
      <c r="B7" s="16">
        <v>4</v>
      </c>
      <c r="C7" s="16" t="str">
        <v>MAN 7 - 4 LLE</v>
      </c>
      <c r="D7" s="50">
        <v>6.145833333333333E-3</v>
      </c>
      <c r="E7" s="50">
        <f t="shared" si="0"/>
        <v>7.9861111111111105E-4</v>
      </c>
    </row>
    <row r="8" spans="1:5" x14ac:dyDescent="0.35">
      <c r="A8" s="16">
        <v>10</v>
      </c>
      <c r="B8" s="16">
        <v>4</v>
      </c>
      <c r="C8" s="16" t="str">
        <v>MAN 10 - 4 LLE</v>
      </c>
      <c r="D8" s="50">
        <v>5.5208333333333333E-3</v>
      </c>
      <c r="E8" s="50">
        <f t="shared" si="0"/>
        <v>1.4236111111111107E-3</v>
      </c>
    </row>
    <row r="9" spans="1:5" x14ac:dyDescent="0.35">
      <c r="A9" s="16">
        <v>10</v>
      </c>
      <c r="B9" s="16">
        <v>5</v>
      </c>
      <c r="C9" s="16" t="str">
        <v>MAN 10 - 5 LLE</v>
      </c>
      <c r="D9" s="50">
        <v>5.2662037037037035E-3</v>
      </c>
      <c r="E9" s="50">
        <f t="shared" si="0"/>
        <v>1.6782407407407406E-3</v>
      </c>
    </row>
    <row r="10" spans="1:5" x14ac:dyDescent="0.35">
      <c r="A10" s="16">
        <v>10</v>
      </c>
      <c r="B10" s="16">
        <v>6</v>
      </c>
      <c r="C10" s="16" t="str">
        <v>MAN 10 - 6 LLE</v>
      </c>
      <c r="D10" s="50">
        <v>5.2662037037037035E-3</v>
      </c>
      <c r="E10" s="50">
        <f t="shared" si="0"/>
        <v>1.6782407407407406E-3</v>
      </c>
    </row>
    <row r="11" spans="1:5" x14ac:dyDescent="0.35">
      <c r="A11" s="16">
        <v>12</v>
      </c>
      <c r="B11" s="16">
        <v>6</v>
      </c>
      <c r="C11" s="16" t="str">
        <v>MAN 12 - 6 LLE</v>
      </c>
      <c r="D11" s="50">
        <v>5.115740740740741E-3</v>
      </c>
      <c r="E11" s="50">
        <f t="shared" si="0"/>
        <v>1.828703703703703E-3</v>
      </c>
    </row>
    <row r="12" spans="1:5" x14ac:dyDescent="0.35">
      <c r="A12" s="16">
        <v>12</v>
      </c>
      <c r="B12" s="16">
        <v>7</v>
      </c>
      <c r="C12" s="16" t="str">
        <v>MAN 12 - 7 LLE</v>
      </c>
      <c r="D12" s="50">
        <v>4.8842592592592592E-3</v>
      </c>
      <c r="E12" s="50">
        <f t="shared" si="0"/>
        <v>2.0601851851851849E-3</v>
      </c>
    </row>
    <row r="13" spans="1:5" x14ac:dyDescent="0.35">
      <c r="A13" s="16">
        <v>13</v>
      </c>
      <c r="B13" s="16">
        <v>7</v>
      </c>
      <c r="C13" s="16" t="str">
        <v>MAN 13 - 7 LLE</v>
      </c>
      <c r="D13" s="50">
        <v>4.6990740740740743E-3</v>
      </c>
      <c r="E13" s="50">
        <f t="shared" si="0"/>
        <v>2.2453703703703698E-3</v>
      </c>
    </row>
    <row r="14" spans="1:5" x14ac:dyDescent="0.35">
      <c r="A14" s="16">
        <v>14</v>
      </c>
      <c r="B14" s="16">
        <v>7</v>
      </c>
      <c r="C14" s="16" t="str">
        <v>MAN 14 - 7 LLE</v>
      </c>
      <c r="D14" s="50">
        <v>4.6990740740740743E-3</v>
      </c>
      <c r="E14" s="50">
        <f t="shared" si="0"/>
        <v>2.2453703703703698E-3</v>
      </c>
    </row>
    <row r="15" spans="1:5" x14ac:dyDescent="0.35">
      <c r="A15" s="16">
        <v>14</v>
      </c>
      <c r="B15" s="16">
        <v>9</v>
      </c>
      <c r="C15" s="16" t="str">
        <v>MAN 14 - 9 LLE</v>
      </c>
      <c r="D15" s="50">
        <v>4.5601851851851853E-3</v>
      </c>
      <c r="E15" s="50">
        <f t="shared" si="0"/>
        <v>2.3842592592592587E-3</v>
      </c>
    </row>
    <row r="16" spans="1:5" x14ac:dyDescent="0.35">
      <c r="A16" s="16">
        <v>16</v>
      </c>
      <c r="B16" s="16">
        <v>9</v>
      </c>
      <c r="C16" s="16" t="str">
        <v>MAN 16 - 9 LLE</v>
      </c>
      <c r="D16" s="50">
        <v>3.7962962962962963E-3</v>
      </c>
      <c r="E16" s="50">
        <f t="shared" si="0"/>
        <v>3.1481481481481477E-3</v>
      </c>
    </row>
    <row r="17" spans="1:5" x14ac:dyDescent="0.35">
      <c r="A17" s="16">
        <v>16</v>
      </c>
      <c r="B17" s="16">
        <v>10</v>
      </c>
      <c r="C17" s="16" t="str">
        <v>MAN 16 - 10 LLE</v>
      </c>
      <c r="D17" s="50">
        <v>3.1828703703703702E-3</v>
      </c>
      <c r="E17" s="50">
        <f t="shared" si="0"/>
        <v>3.7615740740740739E-3</v>
      </c>
    </row>
    <row r="18" spans="1:5" x14ac:dyDescent="0.35">
      <c r="A18" s="16">
        <v>16</v>
      </c>
      <c r="B18" s="16">
        <v>11</v>
      </c>
      <c r="C18" s="16" t="str">
        <v>MAN 16 - 11 LLE</v>
      </c>
      <c r="D18" s="50">
        <v>3.1828703703703702E-3</v>
      </c>
      <c r="E18" s="50">
        <f t="shared" si="0"/>
        <v>3.7615740740740739E-3</v>
      </c>
    </row>
    <row r="19" spans="1:5" x14ac:dyDescent="0.35">
      <c r="A19" s="16">
        <v>16</v>
      </c>
      <c r="B19" s="16">
        <v>13</v>
      </c>
      <c r="C19" s="16" t="str">
        <v>MAN 16 - 13 LLE</v>
      </c>
      <c r="D19" s="50">
        <v>2.8009259259259259E-3</v>
      </c>
      <c r="E19" s="50">
        <f t="shared" si="0"/>
        <v>4.1435185185185186E-3</v>
      </c>
    </row>
    <row r="20" spans="1:5" x14ac:dyDescent="0.35">
      <c r="A20" s="16">
        <v>16</v>
      </c>
      <c r="B20" s="16">
        <v>14</v>
      </c>
      <c r="C20" s="16" t="str">
        <v>MAN 16 - 14 LLE</v>
      </c>
      <c r="D20" s="50">
        <v>2.8009259259259259E-3</v>
      </c>
      <c r="E20" s="50">
        <f t="shared" si="0"/>
        <v>4.1435185185185186E-3</v>
      </c>
    </row>
    <row r="21" spans="1:5" x14ac:dyDescent="0.35">
      <c r="A21" s="16">
        <v>16</v>
      </c>
      <c r="B21" s="16">
        <v>16</v>
      </c>
      <c r="C21" s="16" t="str">
        <v>MAN 16 - 16 LLE</v>
      </c>
      <c r="D21" s="50">
        <v>2.5925925925925925E-3</v>
      </c>
      <c r="E21" s="50">
        <f t="shared" si="0"/>
        <v>4.3518518518518515E-3</v>
      </c>
    </row>
    <row r="22" spans="1:5" x14ac:dyDescent="0.35">
      <c r="A22" s="16">
        <v>16</v>
      </c>
      <c r="B22" s="16">
        <v>17</v>
      </c>
      <c r="C22" s="16" t="str">
        <v>MAN 16 - 17 LLE</v>
      </c>
      <c r="D22" s="50">
        <v>2.5925925925925925E-3</v>
      </c>
      <c r="E22" s="50">
        <f t="shared" si="0"/>
        <v>4.3518518518518515E-3</v>
      </c>
    </row>
    <row r="23" spans="1:5" x14ac:dyDescent="0.35">
      <c r="A23" s="16">
        <v>17</v>
      </c>
      <c r="B23" s="16">
        <v>17</v>
      </c>
      <c r="C23" s="16" t="str">
        <v>MAN 17 - 17 LLE</v>
      </c>
      <c r="D23" s="50">
        <v>2.3148148148148147E-3</v>
      </c>
      <c r="E23" s="50">
        <f t="shared" si="0"/>
        <v>4.6296296296296294E-3</v>
      </c>
    </row>
    <row r="24" spans="1:5" x14ac:dyDescent="0.35">
      <c r="A24" s="16">
        <v>18</v>
      </c>
      <c r="B24" s="16">
        <v>17</v>
      </c>
      <c r="C24" s="16" t="str">
        <v>MAN 18 - 17 LLE</v>
      </c>
      <c r="D24" s="50">
        <v>2.3148148148148147E-3</v>
      </c>
      <c r="E24" s="50">
        <f t="shared" si="0"/>
        <v>4.6296296296296294E-3</v>
      </c>
    </row>
    <row r="25" spans="1:5" x14ac:dyDescent="0.35">
      <c r="A25" s="16">
        <v>19</v>
      </c>
      <c r="B25" s="16">
        <v>17</v>
      </c>
      <c r="C25" s="16" t="str">
        <v>MAN 19 - 17 LLE</v>
      </c>
      <c r="D25" s="50">
        <v>2.3148148148148147E-3</v>
      </c>
      <c r="E25" s="50">
        <f t="shared" si="0"/>
        <v>4.6296296296296294E-3</v>
      </c>
    </row>
    <row r="26" spans="1:5" x14ac:dyDescent="0.35">
      <c r="A26" s="16">
        <v>21</v>
      </c>
      <c r="B26" s="16">
        <v>17</v>
      </c>
      <c r="C26" s="16" t="str">
        <v>MAN 21 - 17 LLE</v>
      </c>
      <c r="D26" s="50">
        <v>1.9328703703703704E-3</v>
      </c>
      <c r="E26" s="50">
        <f t="shared" si="0"/>
        <v>5.0115740740740737E-3</v>
      </c>
    </row>
    <row r="27" spans="1:5" x14ac:dyDescent="0.35">
      <c r="A27" s="16">
        <v>21</v>
      </c>
      <c r="B27" s="16">
        <v>18</v>
      </c>
      <c r="C27" s="16" t="str">
        <v>MAN 21 - 18 LLE</v>
      </c>
      <c r="D27" s="50">
        <v>1.7013888888888888E-3</v>
      </c>
      <c r="E27" s="50">
        <f t="shared" si="0"/>
        <v>5.2430555555555555E-3</v>
      </c>
    </row>
    <row r="28" spans="1:5" x14ac:dyDescent="0.35">
      <c r="A28" s="16">
        <v>22</v>
      </c>
      <c r="B28" s="16">
        <v>18</v>
      </c>
      <c r="C28" s="16" t="str">
        <v>MAN 22 - 18 LLE</v>
      </c>
      <c r="D28" s="50">
        <v>1.5509259259259259E-3</v>
      </c>
      <c r="E28" s="50">
        <f t="shared" si="0"/>
        <v>5.393518518518518E-3</v>
      </c>
    </row>
    <row r="29" spans="1:5" x14ac:dyDescent="0.35">
      <c r="A29" s="16">
        <v>22</v>
      </c>
      <c r="B29" s="16">
        <v>20</v>
      </c>
      <c r="C29" s="16" t="str">
        <v>MAN 22 - 20 LLE</v>
      </c>
      <c r="D29" s="50">
        <v>1.4004629629629629E-3</v>
      </c>
      <c r="E29" s="50">
        <f t="shared" si="0"/>
        <v>5.5439814814814813E-3</v>
      </c>
    </row>
    <row r="30" spans="1:5" x14ac:dyDescent="0.35">
      <c r="A30" s="16">
        <v>22</v>
      </c>
      <c r="B30" s="16">
        <v>21</v>
      </c>
      <c r="C30" s="16" t="str">
        <v>MAN 22 - 21 LLE</v>
      </c>
      <c r="D30" s="50">
        <v>1.4004629629629629E-3</v>
      </c>
      <c r="E30" s="50">
        <f t="shared" si="0"/>
        <v>5.5439814814814813E-3</v>
      </c>
    </row>
    <row r="31" spans="1:5" x14ac:dyDescent="0.35">
      <c r="A31" s="16">
        <v>24</v>
      </c>
      <c r="B31" s="16">
        <v>21</v>
      </c>
      <c r="C31" s="16" t="str">
        <v>MAN 24 - 21 LLE</v>
      </c>
      <c r="D31" s="50">
        <v>1.0185185185185184E-3</v>
      </c>
      <c r="E31" s="50">
        <f t="shared" si="0"/>
        <v>5.9259259259259256E-3</v>
      </c>
    </row>
    <row r="32" spans="1:5" x14ac:dyDescent="0.35">
      <c r="A32" s="16">
        <v>24</v>
      </c>
      <c r="B32" s="16">
        <v>23</v>
      </c>
      <c r="C32" s="16" t="str">
        <v>MAN 24 - 23 LLE</v>
      </c>
      <c r="D32" s="50">
        <v>7.407407407407407E-4</v>
      </c>
      <c r="E32" s="50">
        <f t="shared" si="0"/>
        <v>6.2037037037037035E-3</v>
      </c>
    </row>
    <row r="33" spans="1:5" x14ac:dyDescent="0.35">
      <c r="A33" s="16">
        <v>24</v>
      </c>
      <c r="B33" s="16">
        <v>25</v>
      </c>
      <c r="C33" s="16" t="str">
        <v>MAN 24 - 25 LLE</v>
      </c>
      <c r="D33" s="50">
        <v>3.8194444444444446E-4</v>
      </c>
      <c r="E33" s="50">
        <f t="shared" si="0"/>
        <v>6.5624999999999998E-3</v>
      </c>
    </row>
    <row r="34" spans="1:5" x14ac:dyDescent="0.35">
      <c r="A34" s="16">
        <v>27</v>
      </c>
      <c r="B34" s="16">
        <v>25</v>
      </c>
      <c r="C34" s="16" t="str">
        <v>MAN 27 - 25 LLE</v>
      </c>
      <c r="D34" s="50">
        <v>1.0416666666666667E-4</v>
      </c>
      <c r="E34" s="50">
        <f t="shared" si="0"/>
        <v>6.8402777777777776E-3</v>
      </c>
    </row>
    <row r="35" spans="1:5" x14ac:dyDescent="0.35">
      <c r="A35" s="16">
        <v>27</v>
      </c>
      <c r="B35" s="16">
        <v>27</v>
      </c>
      <c r="C35" s="16" t="str">
        <v>MAN 27 - 27 LLE</v>
      </c>
      <c r="D35" s="50">
        <v>0</v>
      </c>
      <c r="E35" s="50">
        <f t="shared" si="0"/>
        <v>6.9444444444444441E-3</v>
      </c>
    </row>
  </sheetData>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76660-3854-45EA-A2D1-C4BD1E0DE695}">
  <dimension ref="A1:AN32"/>
  <sheetViews>
    <sheetView zoomScale="51" workbookViewId="0">
      <selection activeCell="A27" sqref="A27:B29"/>
    </sheetView>
  </sheetViews>
  <sheetFormatPr baseColWidth="10" defaultRowHeight="14.5" x14ac:dyDescent="0.35"/>
  <cols>
    <col min="1" max="1" width="14.81640625" style="5" customWidth="1"/>
    <col min="2" max="2" width="20.81640625" style="5" customWidth="1"/>
    <col min="3" max="3" width="18.1796875" style="5" customWidth="1"/>
    <col min="4" max="4" width="21.54296875" style="5" bestFit="1" customWidth="1"/>
    <col min="5" max="25" width="10.90625" style="5"/>
    <col min="26" max="28" width="10.90625" style="5" customWidth="1"/>
    <col min="29" max="29" width="17.81640625" style="5" customWidth="1"/>
    <col min="30" max="30" width="16" style="5" customWidth="1"/>
    <col min="31" max="32" width="14.90625" style="5" customWidth="1"/>
    <col min="33" max="34" width="10.90625" style="5"/>
    <col min="35" max="35" width="12" style="5" customWidth="1"/>
    <col min="36" max="36" width="29.26953125" style="5" customWidth="1"/>
    <col min="37" max="37" width="40.54296875" style="5" customWidth="1"/>
    <col min="38" max="38" width="31.453125" style="5" customWidth="1"/>
    <col min="39" max="39" width="40.1796875" style="5" customWidth="1"/>
    <col min="40" max="40" width="28.1796875" style="5" customWidth="1"/>
    <col min="41" max="16384" width="10.90625" style="5"/>
  </cols>
  <sheetData>
    <row r="1" spans="1:40" s="4" customFormat="1" x14ac:dyDescent="0.35">
      <c r="A1" s="35" t="s">
        <v>0</v>
      </c>
      <c r="B1" s="35" t="s">
        <v>3</v>
      </c>
      <c r="C1" s="35" t="s">
        <v>139</v>
      </c>
      <c r="D1" s="35" t="s">
        <v>140</v>
      </c>
      <c r="E1" s="35" t="s">
        <v>141</v>
      </c>
      <c r="F1" s="35" t="s">
        <v>142</v>
      </c>
      <c r="G1" s="35" t="s">
        <v>143</v>
      </c>
      <c r="H1" s="35" t="s">
        <v>144</v>
      </c>
      <c r="I1" s="35" t="s">
        <v>145</v>
      </c>
      <c r="J1" s="35" t="s">
        <v>146</v>
      </c>
      <c r="K1" s="35" t="s">
        <v>147</v>
      </c>
      <c r="L1" s="35" t="s">
        <v>148</v>
      </c>
      <c r="M1" s="35" t="s">
        <v>149</v>
      </c>
      <c r="N1" s="35" t="s">
        <v>150</v>
      </c>
      <c r="O1" s="35" t="s">
        <v>151</v>
      </c>
      <c r="P1" s="35" t="s">
        <v>152</v>
      </c>
      <c r="Q1" s="35" t="s">
        <v>153</v>
      </c>
      <c r="R1" s="35" t="s">
        <v>155</v>
      </c>
      <c r="S1" s="35" t="s">
        <v>154</v>
      </c>
      <c r="T1" s="35" t="s">
        <v>156</v>
      </c>
      <c r="U1" s="35" t="s">
        <v>157</v>
      </c>
      <c r="V1" s="35" t="s">
        <v>158</v>
      </c>
      <c r="W1" s="35" t="s">
        <v>159</v>
      </c>
      <c r="X1" s="35" t="s">
        <v>160</v>
      </c>
      <c r="Y1" s="35" t="s">
        <v>161</v>
      </c>
      <c r="Z1" s="1" t="s">
        <v>181</v>
      </c>
      <c r="AA1" s="1" t="s">
        <v>182</v>
      </c>
      <c r="AB1" s="1" t="s">
        <v>183</v>
      </c>
      <c r="AC1" s="1" t="s">
        <v>193</v>
      </c>
      <c r="AD1" s="1" t="s">
        <v>195</v>
      </c>
      <c r="AF1" s="4" t="s">
        <v>208</v>
      </c>
      <c r="AG1" s="41" t="s">
        <v>163</v>
      </c>
      <c r="AJ1" s="64" t="s">
        <v>197</v>
      </c>
      <c r="AK1" s="64" t="s">
        <v>199</v>
      </c>
      <c r="AL1" s="64" t="s">
        <v>201</v>
      </c>
      <c r="AM1" s="65" t="s">
        <v>203</v>
      </c>
      <c r="AN1" s="65" t="s">
        <v>204</v>
      </c>
    </row>
    <row r="2" spans="1:40" x14ac:dyDescent="0.35">
      <c r="A2" s="2" t="s">
        <v>27</v>
      </c>
      <c r="B2" s="2" t="s">
        <v>28</v>
      </c>
      <c r="C2" s="11">
        <f>SUMIFS('2-DATASET'!AE:AE,'2-DATASET'!G:G,'8-Metricas_Avanzadas'!A2,'2-DATASET'!A:A,$AG$2)</f>
        <v>1.4004629629629627E-3</v>
      </c>
      <c r="D2" s="5">
        <f>SUMIFS('2-DATASET'!M:M,'2-DATASET'!G:G,'8-Metricas_Avanzadas'!A2,'2-DATASET'!A:A,$AG$2)</f>
        <v>0</v>
      </c>
      <c r="E2" s="5">
        <f>(SUMIFS('2-DATASET'!K:K,'2-DATASET'!K:K,2,'2-DATASET'!L:L,1,'2-DATASET'!G:G,'8-Metricas_Avanzadas'!A2,'2-DATASET'!A:A,$AG$2))/2</f>
        <v>0</v>
      </c>
      <c r="F2" s="5">
        <f>(SUMIFS('2-DATASET'!K:K,'2-DATASET'!K:K,2,'2-DATASET'!G:G,'8-Metricas_Avanzadas'!A2,'2-DATASET'!A:A,$AG$2))/2</f>
        <v>0</v>
      </c>
      <c r="G2" s="34">
        <f>IF(F2=0,0,E2/F2)</f>
        <v>0</v>
      </c>
      <c r="H2" s="5">
        <f>(SUMIFS('2-DATASET'!K:K,'2-DATASET'!K:K,3,'2-DATASET'!L:L,1,'2-DATASET'!G:G,'8-Metricas_Avanzadas'!A2,'2-DATASET'!A:A,$AG$2))/3</f>
        <v>0</v>
      </c>
      <c r="I2" s="5">
        <f>(SUMIFS('2-DATASET'!K:K,'2-DATASET'!K:K,3,'2-DATASET'!G:G,'8-Metricas_Avanzadas'!A2,'2-DATASET'!A:A,$AG$2))/3</f>
        <v>0</v>
      </c>
      <c r="J2" s="34">
        <f>IF(I2=0,0,H2/I2)</f>
        <v>0</v>
      </c>
      <c r="K2" s="5">
        <f>(SUMIFS('2-DATASET'!K:K,'2-DATASET'!K:K,1,'2-DATASET'!L:L,1,'2-DATASET'!G:G,'8-Metricas_Avanzadas'!A2,'2-DATASET'!A:A,$AG$2))/1</f>
        <v>0</v>
      </c>
      <c r="L2" s="5">
        <f>(SUMIFS('2-DATASET'!K:K,'2-DATASET'!K:K,1,'2-DATASET'!G:G,'8-Metricas_Avanzadas'!A2,'2-DATASET'!A:A,$AG$2))/1</f>
        <v>0</v>
      </c>
      <c r="M2" s="34">
        <f>IF(L2=0,0,K2/L2)</f>
        <v>0</v>
      </c>
      <c r="N2" s="5">
        <f>(SUMIFS('2-DATASET'!T:T,'2-DATASET'!G:G,'8-Metricas_Avanzadas'!A2,'2-DATASET'!A:A,$AG$2))</f>
        <v>1</v>
      </c>
      <c r="O2" s="5">
        <f>(SUMIFS('2-DATASET'!S:S,'2-DATASET'!G:G,'8-Metricas_Avanzadas'!A2,'2-DATASET'!A:A,$AG$2))</f>
        <v>0</v>
      </c>
      <c r="P2" s="5">
        <f>N2+O2</f>
        <v>1</v>
      </c>
      <c r="Q2" s="5">
        <f>(SUMIFS('2-DATASET'!U:U,'2-DATASET'!G:G,'8-Metricas_Avanzadas'!A2,'2-DATASET'!A:A,$AG$2))</f>
        <v>0</v>
      </c>
      <c r="R2" s="5">
        <f>(SUMIFS('2-DATASET'!V:V,'2-DATASET'!G:G,'8-Metricas_Avanzadas'!A2,'2-DATASET'!A:A,$AG$2))</f>
        <v>0</v>
      </c>
      <c r="S2" s="5">
        <f>(SUMIFS('2-DATASET'!W:W,'2-DATASET'!G:G,'8-Metricas_Avanzadas'!A2,'2-DATASET'!A:A,$AG$2))</f>
        <v>0</v>
      </c>
      <c r="T2" s="5">
        <f>(SUMIFS('2-DATASET'!X:X,'2-DATASET'!G:G,'8-Metricas_Avanzadas'!A2,'2-DATASET'!A:A,$AG$2))</f>
        <v>0</v>
      </c>
      <c r="U2" s="5">
        <f>(SUMIFS('2-DATASET'!Y:Y,'2-DATASET'!G:G,'8-Metricas_Avanzadas'!A2,'2-DATASET'!A:A,$AG$2))</f>
        <v>0</v>
      </c>
      <c r="V2" s="5">
        <f>(SUMIFS('2-DATASET'!K:K,'2-DATASET'!I:I,"Dunk",'2-DATASET'!G:G,'8-Metricas_Avanzadas'!A2,'2-DATASET'!A:A,$AG$2))/2</f>
        <v>0</v>
      </c>
      <c r="W2" s="5">
        <f>(SUMIFS('2-DATASET'!Z:Z,'2-DATASET'!G:G,'8-Metricas_Avanzadas'!A2,'2-DATASET'!A:A,$AG$2))</f>
        <v>2</v>
      </c>
      <c r="X2" s="5">
        <f>(SUMIFS('2-DATASET'!AA:AA,'2-DATASET'!G:G,'8-Metricas_Avanzadas'!A2,'2-DATASET'!A:A,$AG$2))</f>
        <v>0</v>
      </c>
      <c r="Y2" s="5">
        <f>D2+Q2+P2+S2+T2+X2-((F2-E2)+(I2-H2)+(L2-K2)+R2+U2+W2)</f>
        <v>-1</v>
      </c>
      <c r="Z2" s="55">
        <f>IFERROR((E2+1.5*H2)/(F2 + I2), 0)</f>
        <v>0</v>
      </c>
      <c r="AA2" s="55">
        <f>IFERROR(D2/(2*(F2 + I2 + 0.44*L2)),0)</f>
        <v>0</v>
      </c>
      <c r="AB2" s="56">
        <f>IFERROR((E2*2+H2*3)/(F2+I2),0)</f>
        <v>0</v>
      </c>
      <c r="AC2" s="56">
        <f xml:space="preserve"> (F2 + H2) + 0.44*L2 + R2 - O2</f>
        <v>0</v>
      </c>
      <c r="AD2" s="56">
        <f>IF(AC2=0,0,D2/AC2)</f>
        <v>0</v>
      </c>
      <c r="AF2" s="34">
        <f t="shared" ref="AF2:AF14" si="0">AC2/$AC$15</f>
        <v>0</v>
      </c>
      <c r="AG2" s="5">
        <v>1</v>
      </c>
      <c r="AI2" s="33" t="s">
        <v>46</v>
      </c>
      <c r="AJ2" s="2">
        <f>IFERROR(SUMIFS('2-DATASET'!L:L,'2-DATASET'!A:A,1,'2-DATASET'!F:F,"MANRESA",'2-DATASET'!L:L,1,'2-DATASET'!K:K,2,'2-DATASET'!R:R,"S"),"")</f>
        <v>2</v>
      </c>
      <c r="AK2" s="2">
        <f>IFERROR(SUMIFS('2-DATASET'!L:L,'2-DATASET'!A:A,1,'2-DATASET'!F:F,"MANRESA",'2-DATASET'!L:L,1,'2-DATASET'!K:K,2,'2-DATASET'!R:R,"N"),"")</f>
        <v>4</v>
      </c>
      <c r="AL2" s="2">
        <f>AJ2+AK2</f>
        <v>6</v>
      </c>
      <c r="AM2" s="68">
        <f>IF(AL2=0,0,AJ2/AL2)</f>
        <v>0.33333333333333331</v>
      </c>
      <c r="AN2" s="66">
        <f>IF(AL2=0,0,AK2/AL2)</f>
        <v>0.66666666666666663</v>
      </c>
    </row>
    <row r="3" spans="1:40" x14ac:dyDescent="0.35">
      <c r="A3" s="2" t="s">
        <v>73</v>
      </c>
      <c r="B3" s="2" t="s">
        <v>6</v>
      </c>
      <c r="C3" s="11">
        <f>SUMIFS('2-DATASET'!AE:AE,'2-DATASET'!G:G,'8-Metricas_Avanzadas'!A3,'2-DATASET'!A:A,$AG$2)</f>
        <v>2.6388888888888842E-3</v>
      </c>
      <c r="D3" s="5">
        <f>SUMIFS('2-DATASET'!M:M,'2-DATASET'!G:G,'8-Metricas_Avanzadas'!A3,'2-DATASET'!A:A,$AG$2)</f>
        <v>5</v>
      </c>
      <c r="E3" s="5">
        <f>(SUMIFS('2-DATASET'!K:K,'2-DATASET'!K:K,2,'2-DATASET'!L:L,1,'2-DATASET'!G:G,'8-Metricas_Avanzadas'!A3,'2-DATASET'!A:A,$AG$2))/2</f>
        <v>0</v>
      </c>
      <c r="F3" s="5">
        <f>(SUMIFS('2-DATASET'!K:K,'2-DATASET'!K:K,2,'2-DATASET'!G:G,'8-Metricas_Avanzadas'!A3,'2-DATASET'!A:A,$AG$2))/2</f>
        <v>0</v>
      </c>
      <c r="G3" s="34">
        <f t="shared" ref="G3:G31" si="1">IF(F3=0,0,E3/F3)</f>
        <v>0</v>
      </c>
      <c r="H3" s="5">
        <f>(SUMIFS('2-DATASET'!K:K,'2-DATASET'!K:K,3,'2-DATASET'!L:L,1,'2-DATASET'!G:G,'8-Metricas_Avanzadas'!A3,'2-DATASET'!A:A,$AG$2))/3</f>
        <v>1</v>
      </c>
      <c r="I3" s="5">
        <f>(SUMIFS('2-DATASET'!K:K,'2-DATASET'!K:K,3,'2-DATASET'!G:G,'8-Metricas_Avanzadas'!A3,'2-DATASET'!A:A,$AG$2))/3</f>
        <v>2</v>
      </c>
      <c r="J3" s="34">
        <f t="shared" ref="J3:J31" si="2">IF(I3=0,0,H3/I3)</f>
        <v>0.5</v>
      </c>
      <c r="K3" s="5">
        <f>(SUMIFS('2-DATASET'!K:K,'2-DATASET'!K:K,1,'2-DATASET'!L:L,1,'2-DATASET'!G:G,'8-Metricas_Avanzadas'!A3,'2-DATASET'!A:A,$AG$2))/1</f>
        <v>2</v>
      </c>
      <c r="L3" s="5">
        <f>(SUMIFS('2-DATASET'!K:K,'2-DATASET'!K:K,1,'2-DATASET'!G:G,'8-Metricas_Avanzadas'!A3,'2-DATASET'!A:A,$AG$2))/1</f>
        <v>2</v>
      </c>
      <c r="M3" s="34">
        <f t="shared" ref="M3:M31" si="3">IF(L3=0,0,K3/L3)</f>
        <v>1</v>
      </c>
      <c r="N3" s="5">
        <f>(SUMIFS('2-DATASET'!T:T,'2-DATASET'!G:G,'8-Metricas_Avanzadas'!A3,'2-DATASET'!A:A,$AG$2))</f>
        <v>0</v>
      </c>
      <c r="O3" s="5">
        <f>(SUMIFS('2-DATASET'!S:S,'2-DATASET'!G:G,'8-Metricas_Avanzadas'!A3,'2-DATASET'!A:A,$AG$2))</f>
        <v>0</v>
      </c>
      <c r="P3" s="5">
        <f t="shared" ref="P3:P31" si="4">N3+O3</f>
        <v>0</v>
      </c>
      <c r="Q3" s="5">
        <f>(SUMIFS('2-DATASET'!U:U,'2-DATASET'!G:G,'8-Metricas_Avanzadas'!A3,'2-DATASET'!A:A,$AG$2))</f>
        <v>2</v>
      </c>
      <c r="R3" s="5">
        <f>(SUMIFS('2-DATASET'!V:V,'2-DATASET'!G:G,'8-Metricas_Avanzadas'!A3,'2-DATASET'!A:A,$AG$2))</f>
        <v>0</v>
      </c>
      <c r="S3" s="5">
        <f>(SUMIFS('2-DATASET'!W:W,'2-DATASET'!G:G,'8-Metricas_Avanzadas'!A3,'2-DATASET'!A:A,$AG$2))</f>
        <v>0</v>
      </c>
      <c r="T3" s="5">
        <f>(SUMIFS('2-DATASET'!X:X,'2-DATASET'!G:G,'8-Metricas_Avanzadas'!A3,'2-DATASET'!A:A,$AG$2))</f>
        <v>0</v>
      </c>
      <c r="U3" s="5">
        <f>(SUMIFS('2-DATASET'!Y:Y,'2-DATASET'!G:G,'8-Metricas_Avanzadas'!A3,'2-DATASET'!A:A,$AG$2))</f>
        <v>0</v>
      </c>
      <c r="V3" s="5">
        <f>(SUMIFS('2-DATASET'!K:K,'2-DATASET'!I:I,"Dunk",'2-DATASET'!G:G,'8-Metricas_Avanzadas'!A3,'2-DATASET'!A:A,$AG$2))/2</f>
        <v>0</v>
      </c>
      <c r="W3" s="5">
        <f>(SUMIFS('2-DATASET'!Z:Z,'2-DATASET'!G:G,'8-Metricas_Avanzadas'!A3,'2-DATASET'!A:A,$AG$2))</f>
        <v>2</v>
      </c>
      <c r="X3" s="5">
        <f>(SUMIFS('2-DATASET'!AA:AA,'2-DATASET'!G:G,'8-Metricas_Avanzadas'!A3,'2-DATASET'!A:A,$AG$2))</f>
        <v>1</v>
      </c>
      <c r="Y3" s="5">
        <f t="shared" ref="Y3:Y30" si="5">D3+Q3+P3+S3+T3+X3-((F3-E3)+(I3-H3)+(L3-K3)+R3+U3+W3)</f>
        <v>5</v>
      </c>
      <c r="Z3" s="55">
        <f t="shared" ref="Z3:Z31" si="6">IFERROR((E3+1.5*H3)/(F3 + I3), 0)</f>
        <v>0.75</v>
      </c>
      <c r="AA3" s="55">
        <f t="shared" ref="AA3:AA31" si="7">IFERROR(D3/(2*(F3 + I3 + 0.44*L3)),0)</f>
        <v>0.86805555555555558</v>
      </c>
      <c r="AB3" s="56">
        <f t="shared" ref="AB3:AB31" si="8">IFERROR((E3*2+H3*3)/(F3+I3),0)</f>
        <v>1.5</v>
      </c>
      <c r="AC3" s="56">
        <f xml:space="preserve"> (F3 + H3) + 0.44*L3 + R3 - O3</f>
        <v>1.88</v>
      </c>
      <c r="AD3" s="56">
        <f t="shared" ref="AD3:AD13" si="9">IF(AC3=0,0,D3/AC3)</f>
        <v>2.6595744680851063</v>
      </c>
      <c r="AF3" s="34">
        <f t="shared" si="0"/>
        <v>0.13352272727272729</v>
      </c>
      <c r="AI3" s="63" t="s">
        <v>16</v>
      </c>
      <c r="AJ3" s="3">
        <f>IFERROR(SUMIFS('2-DATASET'!L:L,'2-DATASET'!A:A,1,'2-DATASET'!F:F,"LLEIDA",'2-DATASET'!L:L,1,'2-DATASET'!K:K,2,'2-DATASET'!R:R,"S"),"")</f>
        <v>5</v>
      </c>
      <c r="AK3" s="3">
        <f>IFERROR(SUMIFS('2-DATASET'!L:L,'2-DATASET'!A:A,1,'2-DATASET'!F:F,"LLEIDA",'2-DATASET'!L:L,1,'2-DATASET'!K:K,2,'2-DATASET'!R:R,"N"),"")</f>
        <v>4</v>
      </c>
      <c r="AL3" s="3">
        <f>AJ3+AK3</f>
        <v>9</v>
      </c>
      <c r="AM3" s="69">
        <f t="shared" ref="AM3:AM5" si="10">IF(AL3=0,0,AJ3/AL3)</f>
        <v>0.55555555555555558</v>
      </c>
      <c r="AN3" s="67">
        <f t="shared" ref="AN3:AN5" si="11">IF(AL3=0,0,AK3/AL3)</f>
        <v>0.44444444444444442</v>
      </c>
    </row>
    <row r="4" spans="1:40" x14ac:dyDescent="0.35">
      <c r="A4" s="2" t="s">
        <v>7</v>
      </c>
      <c r="B4" s="2" t="s">
        <v>8</v>
      </c>
      <c r="C4" s="11">
        <f>SUMIFS('2-DATASET'!AE:AE,'2-DATASET'!G:G,'8-Metricas_Avanzadas'!A4,'2-DATASET'!A:A,$AG$2)</f>
        <v>3.7615740740740695E-3</v>
      </c>
      <c r="D4" s="5">
        <f>SUMIFS('2-DATASET'!M:M,'2-DATASET'!G:G,'8-Metricas_Avanzadas'!A4,'2-DATASET'!A:A,$AG$2)</f>
        <v>5</v>
      </c>
      <c r="E4" s="5">
        <f>(SUMIFS('2-DATASET'!K:K,'2-DATASET'!K:K,2,'2-DATASET'!L:L,1,'2-DATASET'!G:G,'8-Metricas_Avanzadas'!A4,'2-DATASET'!A:A,$AG$2))/2</f>
        <v>1</v>
      </c>
      <c r="F4" s="5">
        <f>(SUMIFS('2-DATASET'!K:K,'2-DATASET'!K:K,2,'2-DATASET'!G:G,'8-Metricas_Avanzadas'!A4,'2-DATASET'!A:A,$AG$2))/2</f>
        <v>1</v>
      </c>
      <c r="G4" s="34">
        <f t="shared" si="1"/>
        <v>1</v>
      </c>
      <c r="H4" s="5">
        <f>(SUMIFS('2-DATASET'!K:K,'2-DATASET'!K:K,3,'2-DATASET'!L:L,1,'2-DATASET'!G:G,'8-Metricas_Avanzadas'!A4,'2-DATASET'!A:A,$AG$2))/3</f>
        <v>1</v>
      </c>
      <c r="I4" s="5">
        <f>(SUMIFS('2-DATASET'!K:K,'2-DATASET'!K:K,3,'2-DATASET'!G:G,'8-Metricas_Avanzadas'!A4,'2-DATASET'!A:A,$AG$2))/3</f>
        <v>1</v>
      </c>
      <c r="J4" s="34">
        <f t="shared" si="2"/>
        <v>1</v>
      </c>
      <c r="K4" s="5">
        <f>(SUMIFS('2-DATASET'!K:K,'2-DATASET'!K:K,1,'2-DATASET'!L:L,1,'2-DATASET'!G:G,'8-Metricas_Avanzadas'!A4,'2-DATASET'!A:A,$AG$2))/1</f>
        <v>0</v>
      </c>
      <c r="L4" s="5">
        <f>(SUMIFS('2-DATASET'!K:K,'2-DATASET'!K:K,1,'2-DATASET'!G:G,'8-Metricas_Avanzadas'!A4,'2-DATASET'!A:A,$AG$2))/1</f>
        <v>0</v>
      </c>
      <c r="M4" s="34">
        <f t="shared" si="3"/>
        <v>0</v>
      </c>
      <c r="N4" s="5">
        <f>(SUMIFS('2-DATASET'!T:T,'2-DATASET'!G:G,'8-Metricas_Avanzadas'!A4,'2-DATASET'!A:A,$AG$2))</f>
        <v>1</v>
      </c>
      <c r="O4" s="5">
        <f>(SUMIFS('2-DATASET'!S:S,'2-DATASET'!G:G,'8-Metricas_Avanzadas'!A4,'2-DATASET'!A:A,$AG$2))</f>
        <v>0</v>
      </c>
      <c r="P4" s="5">
        <f t="shared" si="4"/>
        <v>1</v>
      </c>
      <c r="Q4" s="5">
        <f>(SUMIFS('2-DATASET'!U:U,'2-DATASET'!G:G,'8-Metricas_Avanzadas'!A4,'2-DATASET'!A:A,$AG$2))</f>
        <v>0</v>
      </c>
      <c r="R4" s="5">
        <f>(SUMIFS('2-DATASET'!V:V,'2-DATASET'!G:G,'8-Metricas_Avanzadas'!A4,'2-DATASET'!A:A,$AG$2))</f>
        <v>0</v>
      </c>
      <c r="S4" s="5">
        <f>(SUMIFS('2-DATASET'!W:W,'2-DATASET'!G:G,'8-Metricas_Avanzadas'!A4,'2-DATASET'!A:A,$AG$2))</f>
        <v>0</v>
      </c>
      <c r="T4" s="5">
        <f>(SUMIFS('2-DATASET'!X:X,'2-DATASET'!G:G,'8-Metricas_Avanzadas'!A4,'2-DATASET'!A:A,$AG$2))</f>
        <v>0</v>
      </c>
      <c r="U4" s="5">
        <f>(SUMIFS('2-DATASET'!Y:Y,'2-DATASET'!G:G,'8-Metricas_Avanzadas'!A4,'2-DATASET'!A:A,$AG$2))</f>
        <v>0</v>
      </c>
      <c r="V4" s="5">
        <f>(SUMIFS('2-DATASET'!K:K,'2-DATASET'!I:I,"Dunk",'2-DATASET'!G:G,'8-Metricas_Avanzadas'!A4,'2-DATASET'!A:A,$AG$2))/2</f>
        <v>0</v>
      </c>
      <c r="W4" s="5">
        <f>(SUMIFS('2-DATASET'!Z:Z,'2-DATASET'!G:G,'8-Metricas_Avanzadas'!A4,'2-DATASET'!A:A,$AG$2))</f>
        <v>0</v>
      </c>
      <c r="X4" s="5">
        <f>(SUMIFS('2-DATASET'!AA:AA,'2-DATASET'!G:G,'8-Metricas_Avanzadas'!A4,'2-DATASET'!A:A,$AG$2))</f>
        <v>1</v>
      </c>
      <c r="Y4" s="5">
        <f t="shared" si="5"/>
        <v>7</v>
      </c>
      <c r="Z4" s="55">
        <f t="shared" si="6"/>
        <v>1.25</v>
      </c>
      <c r="AA4" s="55">
        <f t="shared" si="7"/>
        <v>1.25</v>
      </c>
      <c r="AB4" s="56">
        <f t="shared" si="8"/>
        <v>2.5</v>
      </c>
      <c r="AC4" s="56">
        <f t="shared" ref="AC4:AC31" si="12" xml:space="preserve"> (F4 + H4) + 0.44*L4 + R4 - O4</f>
        <v>2</v>
      </c>
      <c r="AD4" s="56">
        <f t="shared" si="9"/>
        <v>2.5</v>
      </c>
      <c r="AF4" s="34">
        <f t="shared" si="0"/>
        <v>0.14204545454545456</v>
      </c>
      <c r="AI4" s="4"/>
      <c r="AJ4" s="64" t="s">
        <v>198</v>
      </c>
      <c r="AK4" s="64" t="s">
        <v>200</v>
      </c>
      <c r="AL4" s="64" t="s">
        <v>202</v>
      </c>
      <c r="AM4" s="65" t="s">
        <v>205</v>
      </c>
      <c r="AN4" s="65" t="s">
        <v>206</v>
      </c>
    </row>
    <row r="5" spans="1:40" x14ac:dyDescent="0.35">
      <c r="A5" s="2" t="s">
        <v>9</v>
      </c>
      <c r="B5" s="2" t="s">
        <v>32</v>
      </c>
      <c r="C5" s="11">
        <f>SUMIFS('2-DATASET'!AE:AE,'2-DATASET'!G:G,'8-Metricas_Avanzadas'!A5,'2-DATASET'!A:A,$AG$2)</f>
        <v>3.1828703703703702E-3</v>
      </c>
      <c r="D5" s="5">
        <f>SUMIFS('2-DATASET'!M:M,'2-DATASET'!G:G,'8-Metricas_Avanzadas'!A5,'2-DATASET'!A:A,$AG$2)</f>
        <v>2</v>
      </c>
      <c r="E5" s="5">
        <f>(SUMIFS('2-DATASET'!K:K,'2-DATASET'!K:K,2,'2-DATASET'!L:L,1,'2-DATASET'!G:G,'8-Metricas_Avanzadas'!A5,'2-DATASET'!A:A,$AG$2))/2</f>
        <v>1</v>
      </c>
      <c r="F5" s="5">
        <f>(SUMIFS('2-DATASET'!K:K,'2-DATASET'!K:K,2,'2-DATASET'!G:G,'8-Metricas_Avanzadas'!A5,'2-DATASET'!A:A,$AG$2))/2</f>
        <v>2</v>
      </c>
      <c r="G5" s="34">
        <f t="shared" si="1"/>
        <v>0.5</v>
      </c>
      <c r="H5" s="5">
        <f>(SUMIFS('2-DATASET'!K:K,'2-DATASET'!K:K,3,'2-DATASET'!L:L,1,'2-DATASET'!G:G,'8-Metricas_Avanzadas'!A5,'2-DATASET'!A:A,$AG$2))/3</f>
        <v>0</v>
      </c>
      <c r="I5" s="5">
        <f>(SUMIFS('2-DATASET'!K:K,'2-DATASET'!K:K,3,'2-DATASET'!G:G,'8-Metricas_Avanzadas'!A5,'2-DATASET'!A:A,$AG$2))/3</f>
        <v>0</v>
      </c>
      <c r="J5" s="34">
        <f t="shared" si="2"/>
        <v>0</v>
      </c>
      <c r="K5" s="5">
        <f>(SUMIFS('2-DATASET'!K:K,'2-DATASET'!K:K,1,'2-DATASET'!L:L,1,'2-DATASET'!G:G,'8-Metricas_Avanzadas'!A5,'2-DATASET'!A:A,$AG$2))/1</f>
        <v>0</v>
      </c>
      <c r="L5" s="5">
        <f>(SUMIFS('2-DATASET'!K:K,'2-DATASET'!K:K,1,'2-DATASET'!G:G,'8-Metricas_Avanzadas'!A5,'2-DATASET'!A:A,$AG$2))/1</f>
        <v>0</v>
      </c>
      <c r="M5" s="34">
        <f t="shared" si="3"/>
        <v>0</v>
      </c>
      <c r="N5" s="5">
        <f>(SUMIFS('2-DATASET'!T:T,'2-DATASET'!G:G,'8-Metricas_Avanzadas'!A5,'2-DATASET'!A:A,$AG$2))</f>
        <v>0</v>
      </c>
      <c r="O5" s="5">
        <f>(SUMIFS('2-DATASET'!S:S,'2-DATASET'!G:G,'8-Metricas_Avanzadas'!A5,'2-DATASET'!A:A,$AG$2))</f>
        <v>0</v>
      </c>
      <c r="P5" s="5">
        <f t="shared" si="4"/>
        <v>0</v>
      </c>
      <c r="Q5" s="5">
        <f>(SUMIFS('2-DATASET'!U:U,'2-DATASET'!G:G,'8-Metricas_Avanzadas'!A5,'2-DATASET'!A:A,$AG$2))</f>
        <v>0</v>
      </c>
      <c r="R5" s="5">
        <f>(SUMIFS('2-DATASET'!V:V,'2-DATASET'!G:G,'8-Metricas_Avanzadas'!A5,'2-DATASET'!A:A,$AG$2))</f>
        <v>1</v>
      </c>
      <c r="S5" s="5">
        <f>(SUMIFS('2-DATASET'!W:W,'2-DATASET'!G:G,'8-Metricas_Avanzadas'!A5,'2-DATASET'!A:A,$AG$2))</f>
        <v>0</v>
      </c>
      <c r="T5" s="5">
        <f>(SUMIFS('2-DATASET'!X:X,'2-DATASET'!G:G,'8-Metricas_Avanzadas'!A5,'2-DATASET'!A:A,$AG$2))</f>
        <v>0</v>
      </c>
      <c r="U5" s="5">
        <f>(SUMIFS('2-DATASET'!Y:Y,'2-DATASET'!G:G,'8-Metricas_Avanzadas'!A5,'2-DATASET'!A:A,$AG$2))</f>
        <v>1</v>
      </c>
      <c r="V5" s="5">
        <f>(SUMIFS('2-DATASET'!K:K,'2-DATASET'!I:I,"Dunk",'2-DATASET'!G:G,'8-Metricas_Avanzadas'!A5,'2-DATASET'!A:A,$AG$2))/2</f>
        <v>0</v>
      </c>
      <c r="W5" s="5">
        <f>(SUMIFS('2-DATASET'!Z:Z,'2-DATASET'!G:G,'8-Metricas_Avanzadas'!A5,'2-DATASET'!A:A,$AG$2))</f>
        <v>0</v>
      </c>
      <c r="X5" s="5">
        <f>(SUMIFS('2-DATASET'!AA:AA,'2-DATASET'!G:G,'8-Metricas_Avanzadas'!A5,'2-DATASET'!A:A,$AG$2))</f>
        <v>0</v>
      </c>
      <c r="Y5" s="5">
        <f t="shared" si="5"/>
        <v>-1</v>
      </c>
      <c r="Z5" s="55">
        <f t="shared" si="6"/>
        <v>0.5</v>
      </c>
      <c r="AA5" s="55">
        <f t="shared" si="7"/>
        <v>0.5</v>
      </c>
      <c r="AB5" s="56">
        <f t="shared" si="8"/>
        <v>1</v>
      </c>
      <c r="AC5" s="56">
        <f t="shared" si="12"/>
        <v>3</v>
      </c>
      <c r="AD5" s="56">
        <f t="shared" si="9"/>
        <v>0.66666666666666663</v>
      </c>
      <c r="AF5" s="34">
        <f t="shared" si="0"/>
        <v>0.21306818181818185</v>
      </c>
      <c r="AI5" s="33" t="s">
        <v>46</v>
      </c>
      <c r="AJ5" s="2">
        <f>IFERROR(SUMIFS('2-DATASET'!L:L,'2-DATASET'!A:A,1,'2-DATASET'!F:F,"MANRESA",'2-DATASET'!L:L,1,'2-DATASET'!K:K,3,'2-DATASET'!R:R,"S"),"")</f>
        <v>2</v>
      </c>
      <c r="AK5" s="2">
        <f>IFERROR(SUMIFS('2-DATASET'!L:L,'2-DATASET'!A:A,1,'2-DATASET'!F:F,"MANRESA",'2-DATASET'!L:L,1,'2-DATASET'!K:K,3,'2-DATASET'!R:R,"N"),"")</f>
        <v>1</v>
      </c>
      <c r="AL5" s="2">
        <f t="shared" ref="AL5:AL6" si="13">AJ5+AK5</f>
        <v>3</v>
      </c>
      <c r="AM5" s="68">
        <f t="shared" si="10"/>
        <v>0.66666666666666663</v>
      </c>
      <c r="AN5" s="66">
        <f t="shared" si="11"/>
        <v>0.33333333333333331</v>
      </c>
    </row>
    <row r="6" spans="1:40" x14ac:dyDescent="0.35">
      <c r="A6" s="2" t="s">
        <v>11</v>
      </c>
      <c r="B6" s="2" t="s">
        <v>33</v>
      </c>
      <c r="C6" s="11">
        <f>SUMIFS('2-DATASET'!AE:AE,'2-DATASET'!G:G,'8-Metricas_Avanzadas'!A6,'2-DATASET'!A:A,$AG$2)</f>
        <v>4.837962962962958E-3</v>
      </c>
      <c r="D6" s="5">
        <f>SUMIFS('2-DATASET'!M:M,'2-DATASET'!G:G,'8-Metricas_Avanzadas'!A6,'2-DATASET'!A:A,$AG$2)</f>
        <v>0</v>
      </c>
      <c r="E6" s="5">
        <f>(SUMIFS('2-DATASET'!K:K,'2-DATASET'!K:K,2,'2-DATASET'!L:L,1,'2-DATASET'!G:G,'8-Metricas_Avanzadas'!A6,'2-DATASET'!A:A,$AG$2))/2</f>
        <v>0</v>
      </c>
      <c r="F6" s="5">
        <f>(SUMIFS('2-DATASET'!K:K,'2-DATASET'!K:K,2,'2-DATASET'!G:G,'8-Metricas_Avanzadas'!A6,'2-DATASET'!A:A,$AG$2))/2</f>
        <v>1</v>
      </c>
      <c r="G6" s="34">
        <f t="shared" si="1"/>
        <v>0</v>
      </c>
      <c r="H6" s="5">
        <f>(SUMIFS('2-DATASET'!K:K,'2-DATASET'!K:K,3,'2-DATASET'!L:L,1,'2-DATASET'!G:G,'8-Metricas_Avanzadas'!A6,'2-DATASET'!A:A,$AG$2))/3</f>
        <v>0</v>
      </c>
      <c r="I6" s="5">
        <f>(SUMIFS('2-DATASET'!K:K,'2-DATASET'!K:K,3,'2-DATASET'!G:G,'8-Metricas_Avanzadas'!A6,'2-DATASET'!A:A,$AG$2))/3</f>
        <v>1</v>
      </c>
      <c r="J6" s="34">
        <f t="shared" si="2"/>
        <v>0</v>
      </c>
      <c r="K6" s="5">
        <f>(SUMIFS('2-DATASET'!K:K,'2-DATASET'!K:K,1,'2-DATASET'!L:L,1,'2-DATASET'!G:G,'8-Metricas_Avanzadas'!A6,'2-DATASET'!A:A,$AG$2))/1</f>
        <v>0</v>
      </c>
      <c r="L6" s="5">
        <f>(SUMIFS('2-DATASET'!K:K,'2-DATASET'!K:K,1,'2-DATASET'!G:G,'8-Metricas_Avanzadas'!A6,'2-DATASET'!A:A,$AG$2))/1</f>
        <v>0</v>
      </c>
      <c r="M6" s="34">
        <f t="shared" si="3"/>
        <v>0</v>
      </c>
      <c r="N6" s="5">
        <f>(SUMIFS('2-DATASET'!T:T,'2-DATASET'!G:G,'8-Metricas_Avanzadas'!A6,'2-DATASET'!A:A,$AG$2))</f>
        <v>0</v>
      </c>
      <c r="O6" s="5">
        <f>(SUMIFS('2-DATASET'!S:S,'2-DATASET'!G:G,'8-Metricas_Avanzadas'!A6,'2-DATASET'!A:A,$AG$2))</f>
        <v>0</v>
      </c>
      <c r="P6" s="5">
        <f t="shared" si="4"/>
        <v>0</v>
      </c>
      <c r="Q6" s="5">
        <f>(SUMIFS('2-DATASET'!U:U,'2-DATASET'!G:G,'8-Metricas_Avanzadas'!A6,'2-DATASET'!A:A,$AG$2))</f>
        <v>0</v>
      </c>
      <c r="R6" s="5">
        <f>(SUMIFS('2-DATASET'!V:V,'2-DATASET'!G:G,'8-Metricas_Avanzadas'!A6,'2-DATASET'!A:A,$AG$2))</f>
        <v>0</v>
      </c>
      <c r="S6" s="5">
        <f>(SUMIFS('2-DATASET'!W:W,'2-DATASET'!G:G,'8-Metricas_Avanzadas'!A6,'2-DATASET'!A:A,$AG$2))</f>
        <v>0</v>
      </c>
      <c r="T6" s="5">
        <f>(SUMIFS('2-DATASET'!X:X,'2-DATASET'!G:G,'8-Metricas_Avanzadas'!A6,'2-DATASET'!A:A,$AG$2))</f>
        <v>0</v>
      </c>
      <c r="U6" s="5">
        <f>(SUMIFS('2-DATASET'!Y:Y,'2-DATASET'!G:G,'8-Metricas_Avanzadas'!A6,'2-DATASET'!A:A,$AG$2))</f>
        <v>1</v>
      </c>
      <c r="V6" s="5">
        <f>(SUMIFS('2-DATASET'!K:K,'2-DATASET'!I:I,"Dunk",'2-DATASET'!G:G,'8-Metricas_Avanzadas'!A6,'2-DATASET'!A:A,$AG$2))/2</f>
        <v>0</v>
      </c>
      <c r="W6" s="5">
        <f>(SUMIFS('2-DATASET'!Z:Z,'2-DATASET'!G:G,'8-Metricas_Avanzadas'!A6,'2-DATASET'!A:A,$AG$2))</f>
        <v>1</v>
      </c>
      <c r="X6" s="5">
        <f>(SUMIFS('2-DATASET'!AA:AA,'2-DATASET'!G:G,'8-Metricas_Avanzadas'!A6,'2-DATASET'!A:A,$AG$2))</f>
        <v>0</v>
      </c>
      <c r="Y6" s="5">
        <f t="shared" si="5"/>
        <v>-4</v>
      </c>
      <c r="Z6" s="55">
        <f t="shared" si="6"/>
        <v>0</v>
      </c>
      <c r="AA6" s="55">
        <f t="shared" si="7"/>
        <v>0</v>
      </c>
      <c r="AB6" s="56">
        <f t="shared" si="8"/>
        <v>0</v>
      </c>
      <c r="AC6" s="56">
        <f t="shared" si="12"/>
        <v>1</v>
      </c>
      <c r="AD6" s="56">
        <f t="shared" si="9"/>
        <v>0</v>
      </c>
      <c r="AF6" s="34">
        <f t="shared" si="0"/>
        <v>7.1022727272727279E-2</v>
      </c>
      <c r="AI6" s="63" t="s">
        <v>16</v>
      </c>
      <c r="AJ6" s="3">
        <f>IFERROR(SUMIFS('2-DATASET'!L:L,'2-DATASET'!A:A,1,'2-DATASET'!F:F,"LLEIDA",'2-DATASET'!L:L,1,'2-DATASET'!K:K,3,'2-DATASET'!R:R,"S"),"")</f>
        <v>0</v>
      </c>
      <c r="AK6" s="3">
        <f>IFERROR(SUMIFS('2-DATASET'!L:L,'2-DATASET'!A:A,1,'2-DATASET'!F:F,"LLEIDA",'2-DATASET'!L:L,1,'2-DATASET'!K:K,3,'2-DATASET'!R:R,"N"),"")</f>
        <v>0</v>
      </c>
      <c r="AL6" s="3">
        <f t="shared" si="13"/>
        <v>0</v>
      </c>
      <c r="AM6" s="69">
        <f>IF(AL6=0,0,AJ6/AL6)</f>
        <v>0</v>
      </c>
      <c r="AN6" s="67">
        <f>IF(AL6=0,0,AK6/AL6)</f>
        <v>0</v>
      </c>
    </row>
    <row r="7" spans="1:40" x14ac:dyDescent="0.35">
      <c r="A7" s="2" t="s">
        <v>66</v>
      </c>
      <c r="B7" s="2" t="s">
        <v>14</v>
      </c>
      <c r="C7" s="11">
        <f>SUMIFS('2-DATASET'!AE:AE,'2-DATASET'!G:G,'8-Metricas_Avanzadas'!A7,'2-DATASET'!A:A,$AG$2)</f>
        <v>0</v>
      </c>
      <c r="D7" s="5">
        <f>SUMIFS('2-DATASET'!M:M,'2-DATASET'!G:G,'8-Metricas_Avanzadas'!A7,'2-DATASET'!A:A,$AG$2)</f>
        <v>0</v>
      </c>
      <c r="E7" s="5">
        <f>(SUMIFS('2-DATASET'!K:K,'2-DATASET'!K:K,2,'2-DATASET'!L:L,1,'2-DATASET'!G:G,'8-Metricas_Avanzadas'!A7,'2-DATASET'!A:A,$AG$2))/2</f>
        <v>0</v>
      </c>
      <c r="F7" s="5">
        <f>(SUMIFS('2-DATASET'!K:K,'2-DATASET'!K:K,2,'2-DATASET'!G:G,'8-Metricas_Avanzadas'!A7,'2-DATASET'!A:A,$AG$2))/2</f>
        <v>0</v>
      </c>
      <c r="G7" s="34">
        <f t="shared" si="1"/>
        <v>0</v>
      </c>
      <c r="H7" s="5">
        <f>(SUMIFS('2-DATASET'!K:K,'2-DATASET'!K:K,3,'2-DATASET'!L:L,1,'2-DATASET'!G:G,'8-Metricas_Avanzadas'!A7,'2-DATASET'!A:A,$AG$2))/3</f>
        <v>0</v>
      </c>
      <c r="I7" s="5">
        <f>(SUMIFS('2-DATASET'!K:K,'2-DATASET'!K:K,3,'2-DATASET'!G:G,'8-Metricas_Avanzadas'!A7,'2-DATASET'!A:A,$AG$2))/3</f>
        <v>0</v>
      </c>
      <c r="J7" s="34">
        <f t="shared" si="2"/>
        <v>0</v>
      </c>
      <c r="K7" s="5">
        <f>(SUMIFS('2-DATASET'!K:K,'2-DATASET'!K:K,1,'2-DATASET'!L:L,1,'2-DATASET'!G:G,'8-Metricas_Avanzadas'!A7,'2-DATASET'!A:A,$AG$2))/1</f>
        <v>0</v>
      </c>
      <c r="L7" s="5">
        <f>(SUMIFS('2-DATASET'!K:K,'2-DATASET'!K:K,1,'2-DATASET'!G:G,'8-Metricas_Avanzadas'!A7,'2-DATASET'!A:A,$AG$2))/1</f>
        <v>0</v>
      </c>
      <c r="M7" s="34">
        <f t="shared" si="3"/>
        <v>0</v>
      </c>
      <c r="N7" s="5">
        <f>(SUMIFS('2-DATASET'!T:T,'2-DATASET'!G:G,'8-Metricas_Avanzadas'!A7,'2-DATASET'!A:A,$AG$2))</f>
        <v>0</v>
      </c>
      <c r="O7" s="5">
        <f>(SUMIFS('2-DATASET'!S:S,'2-DATASET'!G:G,'8-Metricas_Avanzadas'!A7,'2-DATASET'!A:A,$AG$2))</f>
        <v>0</v>
      </c>
      <c r="P7" s="5">
        <f t="shared" si="4"/>
        <v>0</v>
      </c>
      <c r="Q7" s="5">
        <f>(SUMIFS('2-DATASET'!U:U,'2-DATASET'!G:G,'8-Metricas_Avanzadas'!A7,'2-DATASET'!A:A,$AG$2))</f>
        <v>0</v>
      </c>
      <c r="R7" s="5">
        <f>(SUMIFS('2-DATASET'!V:V,'2-DATASET'!G:G,'8-Metricas_Avanzadas'!A7,'2-DATASET'!A:A,$AG$2))</f>
        <v>0</v>
      </c>
      <c r="S7" s="5">
        <f>(SUMIFS('2-DATASET'!W:W,'2-DATASET'!G:G,'8-Metricas_Avanzadas'!A7,'2-DATASET'!A:A,$AG$2))</f>
        <v>0</v>
      </c>
      <c r="T7" s="5">
        <f>(SUMIFS('2-DATASET'!X:X,'2-DATASET'!G:G,'8-Metricas_Avanzadas'!A7,'2-DATASET'!A:A,$AG$2))</f>
        <v>0</v>
      </c>
      <c r="U7" s="5">
        <f>(SUMIFS('2-DATASET'!Y:Y,'2-DATASET'!G:G,'8-Metricas_Avanzadas'!A7,'2-DATASET'!A:A,$AG$2))</f>
        <v>0</v>
      </c>
      <c r="V7" s="5">
        <f>(SUMIFS('2-DATASET'!K:K,'2-DATASET'!I:I,"Dunk",'2-DATASET'!G:G,'8-Metricas_Avanzadas'!A7,'2-DATASET'!A:A,$AG$2))/2</f>
        <v>0</v>
      </c>
      <c r="W7" s="5">
        <f>(SUMIFS('2-DATASET'!Z:Z,'2-DATASET'!G:G,'8-Metricas_Avanzadas'!A7,'2-DATASET'!A:A,$AG$2))</f>
        <v>0</v>
      </c>
      <c r="X7" s="5">
        <f>(SUMIFS('2-DATASET'!AA:AA,'2-DATASET'!G:G,'8-Metricas_Avanzadas'!A7,'2-DATASET'!A:A,$AG$2))</f>
        <v>0</v>
      </c>
      <c r="Y7" s="5">
        <f t="shared" si="5"/>
        <v>0</v>
      </c>
      <c r="Z7" s="55">
        <f t="shared" si="6"/>
        <v>0</v>
      </c>
      <c r="AA7" s="55">
        <f t="shared" si="7"/>
        <v>0</v>
      </c>
      <c r="AB7" s="56">
        <f t="shared" si="8"/>
        <v>0</v>
      </c>
      <c r="AC7" s="56">
        <f t="shared" si="12"/>
        <v>0</v>
      </c>
      <c r="AD7" s="56">
        <f t="shared" si="9"/>
        <v>0</v>
      </c>
      <c r="AF7" s="34">
        <f t="shared" si="0"/>
        <v>0</v>
      </c>
      <c r="AJ7" s="5" t="str">
        <f>IFERROR(SUMIFS('2-DATASET'!L:L,'2-DATASET'!K6,2,'2-DATASET'!R19,"S"),"")</f>
        <v/>
      </c>
      <c r="AN7" s="34"/>
    </row>
    <row r="8" spans="1:40" x14ac:dyDescent="0.35">
      <c r="A8" s="2" t="s">
        <v>70</v>
      </c>
      <c r="B8" s="2" t="s">
        <v>65</v>
      </c>
      <c r="C8" s="11">
        <f>SUMIFS('2-DATASET'!AE:AE,'2-DATASET'!G:G,'8-Metricas_Avanzadas'!A8,'2-DATASET'!A:A,$AG$2)</f>
        <v>3.1481481481481482E-3</v>
      </c>
      <c r="D8" s="5">
        <f>SUMIFS('2-DATASET'!M:M,'2-DATASET'!G:G,'8-Metricas_Avanzadas'!A8,'2-DATASET'!A:A,$AG$2)</f>
        <v>1</v>
      </c>
      <c r="E8" s="5">
        <f>(SUMIFS('2-DATASET'!K:K,'2-DATASET'!K:K,2,'2-DATASET'!L:L,1,'2-DATASET'!G:G,'8-Metricas_Avanzadas'!A8,'2-DATASET'!A:A,$AG$2))/2</f>
        <v>0</v>
      </c>
      <c r="F8" s="5">
        <f>(SUMIFS('2-DATASET'!K:K,'2-DATASET'!K:K,2,'2-DATASET'!G:G,'8-Metricas_Avanzadas'!A8,'2-DATASET'!A:A,$AG$2))/2</f>
        <v>0</v>
      </c>
      <c r="G8" s="34">
        <f t="shared" si="1"/>
        <v>0</v>
      </c>
      <c r="H8" s="5">
        <f>(SUMIFS('2-DATASET'!K:K,'2-DATASET'!K:K,3,'2-DATASET'!L:L,1,'2-DATASET'!G:G,'8-Metricas_Avanzadas'!A8,'2-DATASET'!A:A,$AG$2))/3</f>
        <v>0</v>
      </c>
      <c r="I8" s="5">
        <f>(SUMIFS('2-DATASET'!K:K,'2-DATASET'!K:K,3,'2-DATASET'!G:G,'8-Metricas_Avanzadas'!A8,'2-DATASET'!A:A,$AG$2))/3</f>
        <v>0</v>
      </c>
      <c r="J8" s="34">
        <f t="shared" si="2"/>
        <v>0</v>
      </c>
      <c r="K8" s="5">
        <f>(SUMIFS('2-DATASET'!K:K,'2-DATASET'!K:K,1,'2-DATASET'!L:L,1,'2-DATASET'!G:G,'8-Metricas_Avanzadas'!A8,'2-DATASET'!A:A,$AG$2))/1</f>
        <v>1</v>
      </c>
      <c r="L8" s="5">
        <f>(SUMIFS('2-DATASET'!K:K,'2-DATASET'!K:K,1,'2-DATASET'!G:G,'8-Metricas_Avanzadas'!A8,'2-DATASET'!A:A,$AG$2))/1</f>
        <v>2</v>
      </c>
      <c r="M8" s="34">
        <f t="shared" si="3"/>
        <v>0.5</v>
      </c>
      <c r="N8" s="5">
        <f>(SUMIFS('2-DATASET'!T:T,'2-DATASET'!G:G,'8-Metricas_Avanzadas'!A8,'2-DATASET'!A:A,$AG$2))</f>
        <v>1</v>
      </c>
      <c r="O8" s="5">
        <f>(SUMIFS('2-DATASET'!S:S,'2-DATASET'!G:G,'8-Metricas_Avanzadas'!A8,'2-DATASET'!A:A,$AG$2))</f>
        <v>1</v>
      </c>
      <c r="P8" s="5">
        <f t="shared" si="4"/>
        <v>2</v>
      </c>
      <c r="Q8" s="5">
        <f>(SUMIFS('2-DATASET'!U:U,'2-DATASET'!G:G,'8-Metricas_Avanzadas'!A8,'2-DATASET'!A:A,$AG$2))</f>
        <v>0</v>
      </c>
      <c r="R8" s="5">
        <f>(SUMIFS('2-DATASET'!V:V,'2-DATASET'!G:G,'8-Metricas_Avanzadas'!A8,'2-DATASET'!A:A,$AG$2))</f>
        <v>1</v>
      </c>
      <c r="S8" s="5">
        <f>(SUMIFS('2-DATASET'!W:W,'2-DATASET'!G:G,'8-Metricas_Avanzadas'!A8,'2-DATASET'!A:A,$AG$2))</f>
        <v>0</v>
      </c>
      <c r="T8" s="5">
        <f>(SUMIFS('2-DATASET'!X:X,'2-DATASET'!G:G,'8-Metricas_Avanzadas'!A8,'2-DATASET'!A:A,$AG$2))</f>
        <v>1</v>
      </c>
      <c r="U8" s="5">
        <f>(SUMIFS('2-DATASET'!Y:Y,'2-DATASET'!G:G,'8-Metricas_Avanzadas'!A8,'2-DATASET'!A:A,$AG$2))</f>
        <v>0</v>
      </c>
      <c r="V8" s="5">
        <f>(SUMIFS('2-DATASET'!K:K,'2-DATASET'!I:I,"Dunk",'2-DATASET'!G:G,'8-Metricas_Avanzadas'!A8,'2-DATASET'!A:A,$AG$2))/2</f>
        <v>0</v>
      </c>
      <c r="W8" s="5">
        <f>(SUMIFS('2-DATASET'!Z:Z,'2-DATASET'!G:G,'8-Metricas_Avanzadas'!A8,'2-DATASET'!A:A,$AG$2))</f>
        <v>1</v>
      </c>
      <c r="X8" s="5">
        <f>(SUMIFS('2-DATASET'!AA:AA,'2-DATASET'!G:G,'8-Metricas_Avanzadas'!A8,'2-DATASET'!A:A,$AG$2))</f>
        <v>2</v>
      </c>
      <c r="Y8" s="5">
        <f t="shared" si="5"/>
        <v>3</v>
      </c>
      <c r="Z8" s="55">
        <f t="shared" si="6"/>
        <v>0</v>
      </c>
      <c r="AA8" s="55">
        <f t="shared" si="7"/>
        <v>0.56818181818181823</v>
      </c>
      <c r="AB8" s="56">
        <f t="shared" si="8"/>
        <v>0</v>
      </c>
      <c r="AC8" s="56">
        <f t="shared" si="12"/>
        <v>0.87999999999999989</v>
      </c>
      <c r="AD8" s="56">
        <f t="shared" si="9"/>
        <v>1.1363636363636365</v>
      </c>
      <c r="AF8" s="34">
        <f t="shared" si="0"/>
        <v>6.25E-2</v>
      </c>
      <c r="AJ8" s="5" t="str">
        <f>IFERROR(SUMIFS('2-DATASET'!L:L,'2-DATASET'!K7,2,'2-DATASET'!R20,"S"),"")</f>
        <v/>
      </c>
    </row>
    <row r="9" spans="1:40" x14ac:dyDescent="0.35">
      <c r="A9" s="2" t="s">
        <v>13</v>
      </c>
      <c r="B9" s="2" t="s">
        <v>12</v>
      </c>
      <c r="C9" s="11">
        <f>SUMIFS('2-DATASET'!AE:AE,'2-DATASET'!G:G,'8-Metricas_Avanzadas'!A9,'2-DATASET'!A:A,$AG$2)</f>
        <v>3.3101851851851803E-3</v>
      </c>
      <c r="D9" s="5">
        <f>SUMIFS('2-DATASET'!M:M,'2-DATASET'!G:G,'8-Metricas_Avanzadas'!A9,'2-DATASET'!A:A,$AG$2)</f>
        <v>4</v>
      </c>
      <c r="E9" s="5">
        <f>(SUMIFS('2-DATASET'!K:K,'2-DATASET'!K:K,2,'2-DATASET'!L:L,1,'2-DATASET'!G:G,'8-Metricas_Avanzadas'!A9,'2-DATASET'!A:A,$AG$2))/2</f>
        <v>2</v>
      </c>
      <c r="F9" s="5">
        <f>(SUMIFS('2-DATASET'!K:K,'2-DATASET'!K:K,2,'2-DATASET'!G:G,'8-Metricas_Avanzadas'!A9,'2-DATASET'!A:A,$AG$2))/2</f>
        <v>2</v>
      </c>
      <c r="G9" s="34">
        <f t="shared" si="1"/>
        <v>1</v>
      </c>
      <c r="H9" s="5">
        <f>(SUMIFS('2-DATASET'!K:K,'2-DATASET'!K:K,3,'2-DATASET'!L:L,1,'2-DATASET'!G:G,'8-Metricas_Avanzadas'!A9,'2-DATASET'!A:A,$AG$2))/3</f>
        <v>0</v>
      </c>
      <c r="I9" s="5">
        <f>(SUMIFS('2-DATASET'!K:K,'2-DATASET'!K:K,3,'2-DATASET'!G:G,'8-Metricas_Avanzadas'!A9,'2-DATASET'!A:A,$AG$2))/3</f>
        <v>0</v>
      </c>
      <c r="J9" s="34">
        <f t="shared" si="2"/>
        <v>0</v>
      </c>
      <c r="K9" s="5">
        <f>(SUMIFS('2-DATASET'!K:K,'2-DATASET'!K:K,1,'2-DATASET'!L:L,1,'2-DATASET'!G:G,'8-Metricas_Avanzadas'!A9,'2-DATASET'!A:A,$AG$2))/1</f>
        <v>0</v>
      </c>
      <c r="L9" s="5">
        <f>(SUMIFS('2-DATASET'!K:K,'2-DATASET'!K:K,1,'2-DATASET'!G:G,'8-Metricas_Avanzadas'!A9,'2-DATASET'!A:A,$AG$2))/1</f>
        <v>0</v>
      </c>
      <c r="M9" s="34">
        <f t="shared" si="3"/>
        <v>0</v>
      </c>
      <c r="N9" s="5">
        <f>(SUMIFS('2-DATASET'!T:T,'2-DATASET'!G:G,'8-Metricas_Avanzadas'!A9,'2-DATASET'!A:A,$AG$2))</f>
        <v>0</v>
      </c>
      <c r="O9" s="5">
        <f>(SUMIFS('2-DATASET'!S:S,'2-DATASET'!G:G,'8-Metricas_Avanzadas'!A9,'2-DATASET'!A:A,$AG$2))</f>
        <v>0</v>
      </c>
      <c r="P9" s="5">
        <f t="shared" si="4"/>
        <v>0</v>
      </c>
      <c r="Q9" s="5">
        <f>(SUMIFS('2-DATASET'!U:U,'2-DATASET'!G:G,'8-Metricas_Avanzadas'!A9,'2-DATASET'!A:A,$AG$2))</f>
        <v>1</v>
      </c>
      <c r="R9" s="5">
        <f>(SUMIFS('2-DATASET'!V:V,'2-DATASET'!G:G,'8-Metricas_Avanzadas'!A9,'2-DATASET'!A:A,$AG$2))</f>
        <v>0</v>
      </c>
      <c r="S9" s="5">
        <f>(SUMIFS('2-DATASET'!W:W,'2-DATASET'!G:G,'8-Metricas_Avanzadas'!A9,'2-DATASET'!A:A,$AG$2))</f>
        <v>0</v>
      </c>
      <c r="T9" s="5">
        <f>(SUMIFS('2-DATASET'!X:X,'2-DATASET'!G:G,'8-Metricas_Avanzadas'!A9,'2-DATASET'!A:A,$AG$2))</f>
        <v>0</v>
      </c>
      <c r="U9" s="5">
        <f>(SUMIFS('2-DATASET'!Y:Y,'2-DATASET'!G:G,'8-Metricas_Avanzadas'!A9,'2-DATASET'!A:A,$AG$2))</f>
        <v>0</v>
      </c>
      <c r="V9" s="5">
        <f>(SUMIFS('2-DATASET'!K:K,'2-DATASET'!I:I,"Dunk",'2-DATASET'!G:G,'8-Metricas_Avanzadas'!A9,'2-DATASET'!A:A,$AG$2))/2</f>
        <v>0</v>
      </c>
      <c r="W9" s="5">
        <f>(SUMIFS('2-DATASET'!Z:Z,'2-DATASET'!G:G,'8-Metricas_Avanzadas'!A9,'2-DATASET'!A:A,$AG$2))</f>
        <v>1</v>
      </c>
      <c r="X9" s="5">
        <f>(SUMIFS('2-DATASET'!AA:AA,'2-DATASET'!G:G,'8-Metricas_Avanzadas'!A9,'2-DATASET'!A:A,$AG$2))</f>
        <v>1</v>
      </c>
      <c r="Y9" s="5">
        <f t="shared" si="5"/>
        <v>5</v>
      </c>
      <c r="Z9" s="55">
        <f t="shared" si="6"/>
        <v>1</v>
      </c>
      <c r="AA9" s="55">
        <f t="shared" si="7"/>
        <v>1</v>
      </c>
      <c r="AB9" s="56">
        <f t="shared" si="8"/>
        <v>2</v>
      </c>
      <c r="AC9" s="56">
        <f t="shared" si="12"/>
        <v>2</v>
      </c>
      <c r="AD9" s="56">
        <f t="shared" si="9"/>
        <v>2</v>
      </c>
      <c r="AF9" s="34">
        <f t="shared" si="0"/>
        <v>0.14204545454545456</v>
      </c>
      <c r="AJ9" s="5" t="str">
        <f>IFERROR(SUMIFS('2-DATASET'!L:L,'2-DATASET'!K8,2,'2-DATASET'!R21,"S"),"")</f>
        <v/>
      </c>
    </row>
    <row r="10" spans="1:40" x14ac:dyDescent="0.35">
      <c r="A10" s="2" t="s">
        <v>35</v>
      </c>
      <c r="B10" s="2" t="s">
        <v>78</v>
      </c>
      <c r="C10" s="11">
        <f>SUMIFS('2-DATASET'!AE:AE,'2-DATASET'!G:G,'8-Metricas_Avanzadas'!A10,'2-DATASET'!A:A,$AG$2)</f>
        <v>4.5023148148148106E-3</v>
      </c>
      <c r="D10" s="5">
        <f>SUMIFS('2-DATASET'!M:M,'2-DATASET'!G:G,'8-Metricas_Avanzadas'!A10,'2-DATASET'!A:A,$AG$2)</f>
        <v>2</v>
      </c>
      <c r="E10" s="5">
        <f>(SUMIFS('2-DATASET'!K:K,'2-DATASET'!K:K,2,'2-DATASET'!L:L,1,'2-DATASET'!G:G,'8-Metricas_Avanzadas'!A10,'2-DATASET'!A:A,$AG$2))/2</f>
        <v>1</v>
      </c>
      <c r="F10" s="5">
        <f>(SUMIFS('2-DATASET'!K:K,'2-DATASET'!K:K,2,'2-DATASET'!G:G,'8-Metricas_Avanzadas'!A10,'2-DATASET'!A:A,$AG$2))/2</f>
        <v>2</v>
      </c>
      <c r="G10" s="34">
        <f t="shared" si="1"/>
        <v>0.5</v>
      </c>
      <c r="H10" s="5">
        <f>(SUMIFS('2-DATASET'!K:K,'2-DATASET'!K:K,3,'2-DATASET'!L:L,1,'2-DATASET'!G:G,'8-Metricas_Avanzadas'!A10,'2-DATASET'!A:A,$AG$2))/3</f>
        <v>0</v>
      </c>
      <c r="I10" s="5">
        <f>(SUMIFS('2-DATASET'!K:K,'2-DATASET'!K:K,3,'2-DATASET'!G:G,'8-Metricas_Avanzadas'!A10,'2-DATASET'!A:A,$AG$2))/3</f>
        <v>0</v>
      </c>
      <c r="J10" s="34">
        <f t="shared" si="2"/>
        <v>0</v>
      </c>
      <c r="K10" s="5">
        <f>(SUMIFS('2-DATASET'!K:K,'2-DATASET'!K:K,1,'2-DATASET'!L:L,1,'2-DATASET'!G:G,'8-Metricas_Avanzadas'!A10,'2-DATASET'!A:A,$AG$2))/1</f>
        <v>0</v>
      </c>
      <c r="L10" s="5">
        <f>(SUMIFS('2-DATASET'!K:K,'2-DATASET'!K:K,1,'2-DATASET'!G:G,'8-Metricas_Avanzadas'!A10,'2-DATASET'!A:A,$AG$2))/1</f>
        <v>0</v>
      </c>
      <c r="M10" s="34">
        <f t="shared" si="3"/>
        <v>0</v>
      </c>
      <c r="N10" s="5">
        <f>(SUMIFS('2-DATASET'!T:T,'2-DATASET'!G:G,'8-Metricas_Avanzadas'!A10,'2-DATASET'!A:A,$AG$2))</f>
        <v>0</v>
      </c>
      <c r="O10" s="5">
        <f>(SUMIFS('2-DATASET'!S:S,'2-DATASET'!G:G,'8-Metricas_Avanzadas'!A10,'2-DATASET'!A:A,$AG$2))</f>
        <v>0</v>
      </c>
      <c r="P10" s="5">
        <f t="shared" si="4"/>
        <v>0</v>
      </c>
      <c r="Q10" s="5">
        <f>(SUMIFS('2-DATASET'!U:U,'2-DATASET'!G:G,'8-Metricas_Avanzadas'!A10,'2-DATASET'!A:A,$AG$2))</f>
        <v>1</v>
      </c>
      <c r="R10" s="5">
        <f>(SUMIFS('2-DATASET'!V:V,'2-DATASET'!G:G,'8-Metricas_Avanzadas'!A10,'2-DATASET'!A:A,$AG$2))</f>
        <v>0</v>
      </c>
      <c r="S10" s="5">
        <f>(SUMIFS('2-DATASET'!W:W,'2-DATASET'!G:G,'8-Metricas_Avanzadas'!A10,'2-DATASET'!A:A,$AG$2))</f>
        <v>0</v>
      </c>
      <c r="T10" s="5">
        <f>(SUMIFS('2-DATASET'!X:X,'2-DATASET'!G:G,'8-Metricas_Avanzadas'!A10,'2-DATASET'!A:A,$AG$2))</f>
        <v>0</v>
      </c>
      <c r="U10" s="5">
        <f>(SUMIFS('2-DATASET'!Y:Y,'2-DATASET'!G:G,'8-Metricas_Avanzadas'!A10,'2-DATASET'!A:A,$AG$2))</f>
        <v>0</v>
      </c>
      <c r="V10" s="5">
        <f>(SUMIFS('2-DATASET'!K:K,'2-DATASET'!I:I,"Dunk",'2-DATASET'!G:G,'8-Metricas_Avanzadas'!A10,'2-DATASET'!A:A,$AG$2))/2</f>
        <v>0</v>
      </c>
      <c r="W10" s="5">
        <f>(SUMIFS('2-DATASET'!Z:Z,'2-DATASET'!G:G,'8-Metricas_Avanzadas'!A10,'2-DATASET'!A:A,$AG$2))</f>
        <v>0</v>
      </c>
      <c r="X10" s="5">
        <f>(SUMIFS('2-DATASET'!AA:AA,'2-DATASET'!G:G,'8-Metricas_Avanzadas'!A10,'2-DATASET'!A:A,$AG$2))</f>
        <v>0</v>
      </c>
      <c r="Y10" s="5">
        <f t="shared" si="5"/>
        <v>2</v>
      </c>
      <c r="Z10" s="55">
        <f t="shared" si="6"/>
        <v>0.5</v>
      </c>
      <c r="AA10" s="55">
        <f t="shared" si="7"/>
        <v>0.5</v>
      </c>
      <c r="AB10" s="56">
        <f t="shared" si="8"/>
        <v>1</v>
      </c>
      <c r="AC10" s="56">
        <f t="shared" si="12"/>
        <v>2</v>
      </c>
      <c r="AD10" s="56">
        <f t="shared" si="9"/>
        <v>1</v>
      </c>
      <c r="AF10" s="34">
        <f t="shared" si="0"/>
        <v>0.14204545454545456</v>
      </c>
      <c r="AJ10" s="5" t="str">
        <f>IFERROR(SUMIFS('2-DATASET'!L:L,'2-DATASET'!K9,2,'2-DATASET'!R22,"S"),"")</f>
        <v/>
      </c>
    </row>
    <row r="11" spans="1:40" x14ac:dyDescent="0.35">
      <c r="A11" s="2" t="s">
        <v>67</v>
      </c>
      <c r="B11" s="2" t="s">
        <v>79</v>
      </c>
      <c r="C11" s="11">
        <f>SUMIFS('2-DATASET'!AE:AE,'2-DATASET'!G:G,'8-Metricas_Avanzadas'!A11,'2-DATASET'!A:A,$AG$2)</f>
        <v>0</v>
      </c>
      <c r="D11" s="5">
        <f>SUMIFS('2-DATASET'!M:M,'2-DATASET'!G:G,'8-Metricas_Avanzadas'!A11,'2-DATASET'!A:A,$AG$2)</f>
        <v>0</v>
      </c>
      <c r="E11" s="5">
        <f>(SUMIFS('2-DATASET'!K:K,'2-DATASET'!K:K,2,'2-DATASET'!L:L,1,'2-DATASET'!G:G,'8-Metricas_Avanzadas'!A11,'2-DATASET'!A:A,$AG$2))/2</f>
        <v>0</v>
      </c>
      <c r="F11" s="5">
        <f>(SUMIFS('2-DATASET'!K:K,'2-DATASET'!K:K,2,'2-DATASET'!G:G,'8-Metricas_Avanzadas'!A11,'2-DATASET'!A:A,$AG$2))/2</f>
        <v>0</v>
      </c>
      <c r="G11" s="34">
        <f t="shared" si="1"/>
        <v>0</v>
      </c>
      <c r="H11" s="5">
        <f>(SUMIFS('2-DATASET'!K:K,'2-DATASET'!K:K,3,'2-DATASET'!L:L,1,'2-DATASET'!G:G,'8-Metricas_Avanzadas'!A11,'2-DATASET'!A:A,$AG$2))/3</f>
        <v>0</v>
      </c>
      <c r="I11" s="5">
        <f>(SUMIFS('2-DATASET'!K:K,'2-DATASET'!K:K,3,'2-DATASET'!G:G,'8-Metricas_Avanzadas'!A11,'2-DATASET'!A:A,$AG$2))/3</f>
        <v>0</v>
      </c>
      <c r="J11" s="34">
        <f t="shared" si="2"/>
        <v>0</v>
      </c>
      <c r="K11" s="5">
        <f>(SUMIFS('2-DATASET'!K:K,'2-DATASET'!K:K,1,'2-DATASET'!L:L,1,'2-DATASET'!G:G,'8-Metricas_Avanzadas'!A11,'2-DATASET'!A:A,$AG$2))/1</f>
        <v>0</v>
      </c>
      <c r="L11" s="5">
        <f>(SUMIFS('2-DATASET'!K:K,'2-DATASET'!K:K,1,'2-DATASET'!G:G,'8-Metricas_Avanzadas'!A11,'2-DATASET'!A:A,$AG$2))/1</f>
        <v>0</v>
      </c>
      <c r="M11" s="34">
        <f t="shared" si="3"/>
        <v>0</v>
      </c>
      <c r="N11" s="5">
        <f>(SUMIFS('2-DATASET'!T:T,'2-DATASET'!G:G,'8-Metricas_Avanzadas'!A11,'2-DATASET'!A:A,$AG$2))</f>
        <v>0</v>
      </c>
      <c r="O11" s="5">
        <f>(SUMIFS('2-DATASET'!S:S,'2-DATASET'!G:G,'8-Metricas_Avanzadas'!A11,'2-DATASET'!A:A,$AG$2))</f>
        <v>0</v>
      </c>
      <c r="P11" s="5">
        <f t="shared" si="4"/>
        <v>0</v>
      </c>
      <c r="Q11" s="5">
        <f>(SUMIFS('2-DATASET'!U:U,'2-DATASET'!G:G,'8-Metricas_Avanzadas'!A11,'2-DATASET'!A:A,$AG$2))</f>
        <v>0</v>
      </c>
      <c r="R11" s="5">
        <f>(SUMIFS('2-DATASET'!V:V,'2-DATASET'!G:G,'8-Metricas_Avanzadas'!A11,'2-DATASET'!A:A,$AG$2))</f>
        <v>0</v>
      </c>
      <c r="S11" s="5">
        <f>(SUMIFS('2-DATASET'!W:W,'2-DATASET'!G:G,'8-Metricas_Avanzadas'!A11,'2-DATASET'!A:A,$AG$2))</f>
        <v>0</v>
      </c>
      <c r="T11" s="5">
        <f>(SUMIFS('2-DATASET'!X:X,'2-DATASET'!G:G,'8-Metricas_Avanzadas'!A11,'2-DATASET'!A:A,$AG$2))</f>
        <v>0</v>
      </c>
      <c r="U11" s="5">
        <f>(SUMIFS('2-DATASET'!Y:Y,'2-DATASET'!G:G,'8-Metricas_Avanzadas'!A11,'2-DATASET'!A:A,$AG$2))</f>
        <v>0</v>
      </c>
      <c r="V11" s="5">
        <f>(SUMIFS('2-DATASET'!K:K,'2-DATASET'!I:I,"Dunk",'2-DATASET'!G:G,'8-Metricas_Avanzadas'!A11,'2-DATASET'!A:A,$AG$2))/2</f>
        <v>0</v>
      </c>
      <c r="W11" s="5">
        <f>(SUMIFS('2-DATASET'!Z:Z,'2-DATASET'!G:G,'8-Metricas_Avanzadas'!A11,'2-DATASET'!A:A,$AG$2))</f>
        <v>0</v>
      </c>
      <c r="X11" s="5">
        <f>(SUMIFS('2-DATASET'!AA:AA,'2-DATASET'!G:G,'8-Metricas_Avanzadas'!A11,'2-DATASET'!A:A,$AG$2))</f>
        <v>0</v>
      </c>
      <c r="Y11" s="5">
        <f t="shared" si="5"/>
        <v>0</v>
      </c>
      <c r="Z11" s="55">
        <f t="shared" si="6"/>
        <v>0</v>
      </c>
      <c r="AA11" s="55">
        <f t="shared" si="7"/>
        <v>0</v>
      </c>
      <c r="AB11" s="56">
        <f t="shared" si="8"/>
        <v>0</v>
      </c>
      <c r="AC11" s="56">
        <f t="shared" si="12"/>
        <v>0</v>
      </c>
      <c r="AD11" s="56">
        <f t="shared" si="9"/>
        <v>0</v>
      </c>
      <c r="AF11" s="34">
        <f t="shared" si="0"/>
        <v>0</v>
      </c>
      <c r="AJ11" s="5" t="str">
        <f>IFERROR(SUMIFS('2-DATASET'!L:L,'2-DATASET'!K10,2,'2-DATASET'!R23,"S"),"")</f>
        <v/>
      </c>
    </row>
    <row r="12" spans="1:40" x14ac:dyDescent="0.35">
      <c r="A12" s="2" t="s">
        <v>68</v>
      </c>
      <c r="B12" s="2" t="s">
        <v>10</v>
      </c>
      <c r="C12" s="11">
        <f>SUMIFS('2-DATASET'!AE:AE,'2-DATASET'!G:G,'8-Metricas_Avanzadas'!A12,'2-DATASET'!A:A,$AG$2)</f>
        <v>4.3055555555555555E-3</v>
      </c>
      <c r="D12" s="5">
        <f>SUMIFS('2-DATASET'!M:M,'2-DATASET'!G:G,'8-Metricas_Avanzadas'!A12,'2-DATASET'!A:A,$AG$2)</f>
        <v>3</v>
      </c>
      <c r="E12" s="5">
        <f>(SUMIFS('2-DATASET'!K:K,'2-DATASET'!K:K,2,'2-DATASET'!L:L,1,'2-DATASET'!G:G,'8-Metricas_Avanzadas'!A12,'2-DATASET'!A:A,$AG$2))/2</f>
        <v>0</v>
      </c>
      <c r="F12" s="5">
        <f>(SUMIFS('2-DATASET'!K:K,'2-DATASET'!K:K,2,'2-DATASET'!G:G,'8-Metricas_Avanzadas'!A12,'2-DATASET'!A:A,$AG$2))/2</f>
        <v>1</v>
      </c>
      <c r="G12" s="34">
        <f t="shared" si="1"/>
        <v>0</v>
      </c>
      <c r="H12" s="5">
        <f>(SUMIFS('2-DATASET'!K:K,'2-DATASET'!K:K,3,'2-DATASET'!L:L,1,'2-DATASET'!G:G,'8-Metricas_Avanzadas'!A12,'2-DATASET'!A:A,$AG$2))/3</f>
        <v>1</v>
      </c>
      <c r="I12" s="5">
        <f>(SUMIFS('2-DATASET'!K:K,'2-DATASET'!K:K,3,'2-DATASET'!G:G,'8-Metricas_Avanzadas'!A12,'2-DATASET'!A:A,$AG$2))/3</f>
        <v>3</v>
      </c>
      <c r="J12" s="34">
        <f t="shared" si="2"/>
        <v>0.33333333333333331</v>
      </c>
      <c r="K12" s="5">
        <f>(SUMIFS('2-DATASET'!K:K,'2-DATASET'!K:K,1,'2-DATASET'!L:L,1,'2-DATASET'!G:G,'8-Metricas_Avanzadas'!A12,'2-DATASET'!A:A,$AG$2))/1</f>
        <v>0</v>
      </c>
      <c r="L12" s="5">
        <f>(SUMIFS('2-DATASET'!K:K,'2-DATASET'!K:K,1,'2-DATASET'!G:G,'8-Metricas_Avanzadas'!A12,'2-DATASET'!A:A,$AG$2))/1</f>
        <v>0</v>
      </c>
      <c r="M12" s="34">
        <f t="shared" si="3"/>
        <v>0</v>
      </c>
      <c r="N12" s="5">
        <f>(SUMIFS('2-DATASET'!T:T,'2-DATASET'!G:G,'8-Metricas_Avanzadas'!A12,'2-DATASET'!A:A,$AG$2))</f>
        <v>0</v>
      </c>
      <c r="O12" s="5">
        <f>(SUMIFS('2-DATASET'!S:S,'2-DATASET'!G:G,'8-Metricas_Avanzadas'!A12,'2-DATASET'!A:A,$AG$2))</f>
        <v>1</v>
      </c>
      <c r="P12" s="5">
        <f t="shared" si="4"/>
        <v>1</v>
      </c>
      <c r="Q12" s="5">
        <f>(SUMIFS('2-DATASET'!U:U,'2-DATASET'!G:G,'8-Metricas_Avanzadas'!A12,'2-DATASET'!A:A,$AG$2))</f>
        <v>0</v>
      </c>
      <c r="R12" s="5">
        <f>(SUMIFS('2-DATASET'!V:V,'2-DATASET'!G:G,'8-Metricas_Avanzadas'!A12,'2-DATASET'!A:A,$AG$2))</f>
        <v>1</v>
      </c>
      <c r="S12" s="5">
        <f>(SUMIFS('2-DATASET'!W:W,'2-DATASET'!G:G,'8-Metricas_Avanzadas'!A12,'2-DATASET'!A:A,$AG$2))</f>
        <v>0</v>
      </c>
      <c r="T12" s="5">
        <f>(SUMIFS('2-DATASET'!X:X,'2-DATASET'!G:G,'8-Metricas_Avanzadas'!A12,'2-DATASET'!A:A,$AG$2))</f>
        <v>0</v>
      </c>
      <c r="U12" s="5">
        <f>(SUMIFS('2-DATASET'!Y:Y,'2-DATASET'!G:G,'8-Metricas_Avanzadas'!A12,'2-DATASET'!A:A,$AG$2))</f>
        <v>0</v>
      </c>
      <c r="V12" s="5">
        <f>(SUMIFS('2-DATASET'!K:K,'2-DATASET'!I:I,"Dunk",'2-DATASET'!G:G,'8-Metricas_Avanzadas'!A12,'2-DATASET'!A:A,$AG$2))/2</f>
        <v>0</v>
      </c>
      <c r="W12" s="5">
        <f>(SUMIFS('2-DATASET'!Z:Z,'2-DATASET'!G:G,'8-Metricas_Avanzadas'!A12,'2-DATASET'!A:A,$AG$2))</f>
        <v>0</v>
      </c>
      <c r="X12" s="5">
        <f>(SUMIFS('2-DATASET'!AA:AA,'2-DATASET'!G:G,'8-Metricas_Avanzadas'!A12,'2-DATASET'!A:A,$AG$2))</f>
        <v>1</v>
      </c>
      <c r="Y12" s="5">
        <f t="shared" si="5"/>
        <v>1</v>
      </c>
      <c r="Z12" s="55">
        <f t="shared" si="6"/>
        <v>0.375</v>
      </c>
      <c r="AA12" s="55">
        <f t="shared" si="7"/>
        <v>0.375</v>
      </c>
      <c r="AB12" s="56">
        <f t="shared" si="8"/>
        <v>0.75</v>
      </c>
      <c r="AC12" s="56">
        <f t="shared" si="12"/>
        <v>2</v>
      </c>
      <c r="AD12" s="56">
        <f t="shared" si="9"/>
        <v>1.5</v>
      </c>
      <c r="AF12" s="34">
        <f t="shared" si="0"/>
        <v>0.14204545454545456</v>
      </c>
      <c r="AJ12" s="5" t="str">
        <f>IFERROR(SUMIFS('2-DATASET'!L:L,'2-DATASET'!K11,2,'2-DATASET'!R24,"S"),"")</f>
        <v/>
      </c>
    </row>
    <row r="13" spans="1:40" ht="15" thickBot="1" x14ac:dyDescent="0.4">
      <c r="A13" s="2" t="s">
        <v>69</v>
      </c>
      <c r="B13" s="2" t="s">
        <v>80</v>
      </c>
      <c r="C13" s="11">
        <f>SUMIFS('2-DATASET'!AE:AE,'2-DATASET'!G:G,'8-Metricas_Avanzadas'!A13,'2-DATASET'!A:A,$AG$2)</f>
        <v>3.6342592592592594E-3</v>
      </c>
      <c r="D13" s="5">
        <f>SUMIFS('2-DATASET'!M:M,'2-DATASET'!G:G,'8-Metricas_Avanzadas'!A13,'2-DATASET'!A:A,$AG$2)</f>
        <v>5</v>
      </c>
      <c r="E13" s="5">
        <f>(SUMIFS('2-DATASET'!K:K,'2-DATASET'!K:K,2,'2-DATASET'!L:L,1,'2-DATASET'!G:G,'8-Metricas_Avanzadas'!A13,'2-DATASET'!A:A,$AG$2))/2</f>
        <v>1</v>
      </c>
      <c r="F13" s="5">
        <f>(SUMIFS('2-DATASET'!K:K,'2-DATASET'!K:K,2,'2-DATASET'!G:G,'8-Metricas_Avanzadas'!A13,'2-DATASET'!A:A,$AG$2))/2</f>
        <v>1</v>
      </c>
      <c r="G13" s="34">
        <f t="shared" si="1"/>
        <v>1</v>
      </c>
      <c r="H13" s="5">
        <f>(SUMIFS('2-DATASET'!K:K,'2-DATASET'!K:K,3,'2-DATASET'!L:L,1,'2-DATASET'!G:G,'8-Metricas_Avanzadas'!A13,'2-DATASET'!A:A,$AG$2))/3</f>
        <v>0</v>
      </c>
      <c r="I13" s="5">
        <f>(SUMIFS('2-DATASET'!K:K,'2-DATASET'!K:K,3,'2-DATASET'!G:G,'8-Metricas_Avanzadas'!A13,'2-DATASET'!A:A,$AG$2))/3</f>
        <v>1</v>
      </c>
      <c r="J13" s="34">
        <f t="shared" si="2"/>
        <v>0</v>
      </c>
      <c r="K13" s="5">
        <f>(SUMIFS('2-DATASET'!K:K,'2-DATASET'!K:K,1,'2-DATASET'!L:L,1,'2-DATASET'!G:G,'8-Metricas_Avanzadas'!A13,'2-DATASET'!A:A,$AG$2))/1</f>
        <v>3</v>
      </c>
      <c r="L13" s="5">
        <f>(SUMIFS('2-DATASET'!K:K,'2-DATASET'!K:K,1,'2-DATASET'!G:G,'8-Metricas_Avanzadas'!A13,'2-DATASET'!A:A,$AG$2))/1</f>
        <v>3</v>
      </c>
      <c r="M13" s="34">
        <f t="shared" si="3"/>
        <v>1</v>
      </c>
      <c r="N13" s="5">
        <f>(SUMIFS('2-DATASET'!T:T,'2-DATASET'!G:G,'8-Metricas_Avanzadas'!A13,'2-DATASET'!A:A,$AG$2))</f>
        <v>0</v>
      </c>
      <c r="O13" s="5">
        <f>(SUMIFS('2-DATASET'!S:S,'2-DATASET'!G:G,'8-Metricas_Avanzadas'!A13,'2-DATASET'!A:A,$AG$2))</f>
        <v>2</v>
      </c>
      <c r="P13" s="5">
        <f t="shared" si="4"/>
        <v>2</v>
      </c>
      <c r="Q13" s="5">
        <f>(SUMIFS('2-DATASET'!U:U,'2-DATASET'!G:G,'8-Metricas_Avanzadas'!A13,'2-DATASET'!A:A,$AG$2))</f>
        <v>0</v>
      </c>
      <c r="R13" s="5">
        <f>(SUMIFS('2-DATASET'!V:V,'2-DATASET'!G:G,'8-Metricas_Avanzadas'!A13,'2-DATASET'!A:A,$AG$2))</f>
        <v>1</v>
      </c>
      <c r="S13" s="5">
        <f>(SUMIFS('2-DATASET'!W:W,'2-DATASET'!G:G,'8-Metricas_Avanzadas'!A13,'2-DATASET'!A:A,$AG$2))</f>
        <v>0</v>
      </c>
      <c r="T13" s="5">
        <f>(SUMIFS('2-DATASET'!X:X,'2-DATASET'!G:G,'8-Metricas_Avanzadas'!A13,'2-DATASET'!A:A,$AG$2))</f>
        <v>0</v>
      </c>
      <c r="U13" s="5">
        <f>(SUMIFS('2-DATASET'!Y:Y,'2-DATASET'!G:G,'8-Metricas_Avanzadas'!A13,'2-DATASET'!A:A,$AG$2))</f>
        <v>0</v>
      </c>
      <c r="V13" s="5">
        <f>(SUMIFS('2-DATASET'!K:K,'2-DATASET'!I:I,"Dunk",'2-DATASET'!G:G,'8-Metricas_Avanzadas'!A13,'2-DATASET'!A:A,$AG$2))/2</f>
        <v>0</v>
      </c>
      <c r="W13" s="5">
        <f>(SUMIFS('2-DATASET'!Z:Z,'2-DATASET'!G:G,'8-Metricas_Avanzadas'!A13,'2-DATASET'!A:A,$AG$2))</f>
        <v>1</v>
      </c>
      <c r="X13" s="5">
        <f>(SUMIFS('2-DATASET'!AA:AA,'2-DATASET'!G:G,'8-Metricas_Avanzadas'!A13,'2-DATASET'!A:A,$AG$2))</f>
        <v>1</v>
      </c>
      <c r="Y13" s="5">
        <f t="shared" si="5"/>
        <v>5</v>
      </c>
      <c r="Z13" s="55">
        <f t="shared" si="6"/>
        <v>0.5</v>
      </c>
      <c r="AA13" s="55">
        <f t="shared" si="7"/>
        <v>0.75301204819277101</v>
      </c>
      <c r="AB13" s="56">
        <f t="shared" si="8"/>
        <v>1</v>
      </c>
      <c r="AC13" s="56">
        <f xml:space="preserve"> (F13 + H13) + 0.44*L13 + R13 - O13</f>
        <v>1.3200000000000003</v>
      </c>
      <c r="AD13" s="56">
        <f t="shared" si="9"/>
        <v>3.7878787878787872</v>
      </c>
      <c r="AF13" s="34">
        <f t="shared" si="0"/>
        <v>9.3750000000000028E-2</v>
      </c>
      <c r="AJ13" s="5" t="str">
        <f>IFERROR(SUMIFS('2-DATASET'!L:L,'2-DATASET'!K12,2,'2-DATASET'!R25,"S"),"")</f>
        <v/>
      </c>
    </row>
    <row r="14" spans="1:40" ht="15" thickBot="1" x14ac:dyDescent="0.4">
      <c r="A14" s="24" t="s">
        <v>120</v>
      </c>
      <c r="B14" s="24" t="s">
        <v>123</v>
      </c>
      <c r="C14" s="37">
        <f>SUMIFS('2-DATASET'!AE:AE,'2-DATASET'!G:G,'8-Metricas_Avanzadas'!A14,'2-DATASET'!A:A,$AG$2)</f>
        <v>0</v>
      </c>
      <c r="D14" s="36">
        <f>SUMIFS('2-DATASET'!M:M,'2-DATASET'!G:G,'8-Metricas_Avanzadas'!A14,'2-DATASET'!A:A,$AG$2)</f>
        <v>0</v>
      </c>
      <c r="E14" s="36">
        <f>(SUMIFS('2-DATASET'!K:K,'2-DATASET'!K:K,2,'2-DATASET'!L:L,1,'2-DATASET'!G:G,'8-Metricas_Avanzadas'!A14,'2-DATASET'!A:A,$AG$2))/2</f>
        <v>0</v>
      </c>
      <c r="F14" s="36">
        <f>(SUMIFS('2-DATASET'!K:K,'2-DATASET'!K:K,2,'2-DATASET'!G:G,'8-Metricas_Avanzadas'!A14,'2-DATASET'!A:A,$AG$2))/2</f>
        <v>0</v>
      </c>
      <c r="G14" s="38">
        <f t="shared" si="1"/>
        <v>0</v>
      </c>
      <c r="H14" s="36">
        <f>(SUMIFS('2-DATASET'!K:K,'2-DATASET'!K:K,3,'2-DATASET'!L:L,1,'2-DATASET'!G:G,'8-Metricas_Avanzadas'!A14,'2-DATASET'!A:A,$AG$2))/3</f>
        <v>0</v>
      </c>
      <c r="I14" s="36">
        <f>(SUMIFS('2-DATASET'!K:K,'2-DATASET'!K:K,3,'2-DATASET'!G:G,'8-Metricas_Avanzadas'!A14,'2-DATASET'!A:A,$AG$2))/3</f>
        <v>0</v>
      </c>
      <c r="J14" s="38">
        <f t="shared" si="2"/>
        <v>0</v>
      </c>
      <c r="K14" s="36">
        <f>(SUMIFS('2-DATASET'!K:K,'2-DATASET'!K:K,1,'2-DATASET'!L:L,1,'2-DATASET'!G:G,'8-Metricas_Avanzadas'!A14,'2-DATASET'!A:A,$AG$2))/1</f>
        <v>0</v>
      </c>
      <c r="L14" s="36">
        <f>(SUMIFS('2-DATASET'!K:K,'2-DATASET'!K:K,1,'2-DATASET'!G:G,'8-Metricas_Avanzadas'!A14,'2-DATASET'!A:A,$AG$2))/1</f>
        <v>0</v>
      </c>
      <c r="M14" s="38">
        <f t="shared" si="3"/>
        <v>0</v>
      </c>
      <c r="N14" s="36">
        <f>(SUMIFS('2-DATASET'!T:T,'2-DATASET'!G:G,'8-Metricas_Avanzadas'!A14,'2-DATASET'!A:A,$AG$2))</f>
        <v>0</v>
      </c>
      <c r="O14" s="36">
        <f>(SUMIFS('2-DATASET'!S:S,'2-DATASET'!G:G,'8-Metricas_Avanzadas'!A14,'2-DATASET'!A:A,$AG$2))</f>
        <v>3</v>
      </c>
      <c r="P14" s="36">
        <f t="shared" si="4"/>
        <v>3</v>
      </c>
      <c r="Q14" s="36">
        <f>(SUMIFS('2-DATASET'!U:U,'2-DATASET'!G:G,'8-Metricas_Avanzadas'!A14,'2-DATASET'!A:A,$AG$2))</f>
        <v>0</v>
      </c>
      <c r="R14" s="36">
        <f>(SUMIFS('2-DATASET'!V:V,'2-DATASET'!G:G,'8-Metricas_Avanzadas'!A14,'2-DATASET'!A:A,$AG$2))</f>
        <v>1</v>
      </c>
      <c r="S14" s="36">
        <f>(SUMIFS('2-DATASET'!W:W,'2-DATASET'!G:G,'8-Metricas_Avanzadas'!A14,'2-DATASET'!A:A,$AG$2))</f>
        <v>0</v>
      </c>
      <c r="T14" s="36">
        <f>(SUMIFS('2-DATASET'!X:X,'2-DATASET'!G:G,'8-Metricas_Avanzadas'!A14,'2-DATASET'!A:A,$AG$2))</f>
        <v>0</v>
      </c>
      <c r="U14" s="36">
        <f>(SUMIFS('2-DATASET'!Y:Y,'2-DATASET'!G:G,'8-Metricas_Avanzadas'!A14,'2-DATASET'!A:A,$AG$2))</f>
        <v>0</v>
      </c>
      <c r="V14" s="36">
        <f>(SUMIFS('2-DATASET'!K:K,'2-DATASET'!I:I,"Dunk",'2-DATASET'!G:G,'8-Metricas_Avanzadas'!A14,'2-DATASET'!A:A,$AG$2))/2</f>
        <v>0</v>
      </c>
      <c r="W14" s="36">
        <f>(SUMIFS('2-DATASET'!Z:Z,'2-DATASET'!G:G,'8-Metricas_Avanzadas'!A14,'2-DATASET'!A:A,$AG$2))</f>
        <v>0</v>
      </c>
      <c r="X14" s="36">
        <f>(SUMIFS('2-DATASET'!AA:AA,'2-DATASET'!G:G,'8-Metricas_Avanzadas'!A14,'2-DATASET'!A:A,$AG$2))</f>
        <v>0</v>
      </c>
      <c r="Y14" s="36">
        <f t="shared" si="5"/>
        <v>2</v>
      </c>
      <c r="Z14" s="55">
        <f t="shared" si="6"/>
        <v>0</v>
      </c>
      <c r="AA14" s="55">
        <f t="shared" si="7"/>
        <v>0</v>
      </c>
      <c r="AB14" s="56">
        <f t="shared" si="8"/>
        <v>0</v>
      </c>
      <c r="AC14" s="56">
        <f t="shared" si="12"/>
        <v>-2</v>
      </c>
      <c r="AD14" s="59" t="s">
        <v>194</v>
      </c>
      <c r="AE14" s="60" t="s">
        <v>196</v>
      </c>
      <c r="AF14" s="34">
        <f t="shared" si="0"/>
        <v>-0.14204545454545456</v>
      </c>
      <c r="AJ14" s="5" t="str">
        <f>IFERROR(SUMIFS('2-DATASET'!L:L,'2-DATASET'!K13,2,'2-DATASET'!R26,"S"),"")</f>
        <v/>
      </c>
    </row>
    <row r="15" spans="1:40" s="4" customFormat="1" ht="15" thickBot="1" x14ac:dyDescent="0.4">
      <c r="A15" s="24"/>
      <c r="B15" s="24" t="s">
        <v>162</v>
      </c>
      <c r="C15" s="25">
        <f>SUM(C2:C13)</f>
        <v>3.4722222222222196E-2</v>
      </c>
      <c r="D15" s="33">
        <f>SUM(D2:D14)</f>
        <v>27</v>
      </c>
      <c r="E15" s="33">
        <f>SUM(E2:E14)</f>
        <v>6</v>
      </c>
      <c r="F15" s="33">
        <f>SUM(F2:F14)</f>
        <v>10</v>
      </c>
      <c r="G15" s="39">
        <f t="shared" si="1"/>
        <v>0.6</v>
      </c>
      <c r="H15" s="33">
        <f>SUM(H2:H14)</f>
        <v>3</v>
      </c>
      <c r="I15" s="33">
        <f>SUM(I2:I14)</f>
        <v>8</v>
      </c>
      <c r="J15" s="39">
        <f t="shared" si="2"/>
        <v>0.375</v>
      </c>
      <c r="K15" s="33">
        <f>SUM(K2:K14)</f>
        <v>6</v>
      </c>
      <c r="L15" s="33">
        <f>SUM(L2:L14)</f>
        <v>7</v>
      </c>
      <c r="M15" s="39">
        <f t="shared" si="3"/>
        <v>0.8571428571428571</v>
      </c>
      <c r="N15" s="33">
        <f>SUM(N2:N14)</f>
        <v>3</v>
      </c>
      <c r="O15" s="33">
        <f>SUM(O2:O14)</f>
        <v>7</v>
      </c>
      <c r="P15" s="33">
        <f t="shared" si="4"/>
        <v>10</v>
      </c>
      <c r="Q15" s="33">
        <f t="shared" ref="Q15:X15" si="14">SUM(Q2:Q14)</f>
        <v>4</v>
      </c>
      <c r="R15" s="33">
        <f t="shared" si="14"/>
        <v>5</v>
      </c>
      <c r="S15" s="33">
        <f t="shared" si="14"/>
        <v>0</v>
      </c>
      <c r="T15" s="33">
        <f t="shared" si="14"/>
        <v>1</v>
      </c>
      <c r="U15" s="33">
        <f t="shared" si="14"/>
        <v>2</v>
      </c>
      <c r="V15" s="33">
        <f t="shared" si="14"/>
        <v>0</v>
      </c>
      <c r="W15" s="33">
        <f t="shared" si="14"/>
        <v>8</v>
      </c>
      <c r="X15" s="33">
        <f t="shared" si="14"/>
        <v>7</v>
      </c>
      <c r="Y15" s="33">
        <f>D15+Q15+P15+S15+T15+X15-((F15-E15)+(I15-H15)+(L15-K15)+R15+U15+W15)</f>
        <v>24</v>
      </c>
      <c r="Z15" s="55">
        <f t="shared" si="6"/>
        <v>0.58333333333333337</v>
      </c>
      <c r="AA15" s="55">
        <f t="shared" si="7"/>
        <v>0.64041745730550292</v>
      </c>
      <c r="AB15" s="56">
        <f t="shared" si="8"/>
        <v>1.1666666666666667</v>
      </c>
      <c r="AC15" s="56">
        <f xml:space="preserve"> (F15 + H15) + 0.44*L15 + R15 - O15</f>
        <v>14.079999999999998</v>
      </c>
      <c r="AD15" s="61">
        <f>IF(AC15=0,0,D15/AC15)</f>
        <v>1.9176136363636367</v>
      </c>
      <c r="AE15" s="62">
        <f>D31/AC31</f>
        <v>1.5134529147982063</v>
      </c>
      <c r="AF15" s="71">
        <f>SUM(AF2:AF14)</f>
        <v>1.0000000000000002</v>
      </c>
      <c r="AG15" s="72" t="s">
        <v>211</v>
      </c>
      <c r="AJ15" s="5" t="str">
        <f>IFERROR(SUMIFS('2-DATASET'!L:L,'2-DATASET'!K14,2,'2-DATASET'!R27,"S"),"")</f>
        <v/>
      </c>
    </row>
    <row r="16" spans="1:40" x14ac:dyDescent="0.35">
      <c r="G16" s="34"/>
      <c r="J16" s="34"/>
      <c r="M16" s="34"/>
      <c r="Z16" s="55"/>
      <c r="AA16" s="55"/>
      <c r="AB16" s="57"/>
      <c r="AC16" s="56">
        <f>SUM(AC2:AC14)</f>
        <v>14.079999999999998</v>
      </c>
      <c r="AD16" s="56"/>
      <c r="AE16" s="58"/>
      <c r="AF16" s="34"/>
    </row>
    <row r="17" spans="1:33" x14ac:dyDescent="0.35">
      <c r="G17" s="34"/>
      <c r="J17" s="34"/>
      <c r="M17" s="34"/>
      <c r="Z17" s="55"/>
      <c r="AA17" s="55"/>
      <c r="AB17" s="57"/>
      <c r="AC17" s="56"/>
      <c r="AD17" s="56"/>
      <c r="AE17" s="58"/>
      <c r="AF17" s="34"/>
    </row>
    <row r="18" spans="1:33" x14ac:dyDescent="0.35">
      <c r="A18" s="3" t="s">
        <v>15</v>
      </c>
      <c r="B18" s="3" t="s">
        <v>17</v>
      </c>
      <c r="C18" s="12">
        <f>SUMIFS('2-DATASET'!AE:AE,'2-DATASET'!G:G,'8-Metricas_Avanzadas'!A18,'2-DATASET'!A:A,$AG$2)</f>
        <v>3.3101851851851847E-3</v>
      </c>
      <c r="D18" s="5">
        <f>SUMIFS('2-DATASET'!M:M,'2-DATASET'!G:G,'8-Metricas_Avanzadas'!A18,'2-DATASET'!A:A,$AG$2)</f>
        <v>1</v>
      </c>
      <c r="E18" s="5">
        <f>(SUMIFS('2-DATASET'!K:K,'2-DATASET'!K:K,2,'2-DATASET'!L:L,1,'2-DATASET'!G:G,'8-Metricas_Avanzadas'!A18,'2-DATASET'!A:A,$AG$2))/2</f>
        <v>0</v>
      </c>
      <c r="F18" s="5">
        <f>(SUMIFS('2-DATASET'!K:K,'2-DATASET'!K:K,2,'2-DATASET'!G:G,'8-Metricas_Avanzadas'!A18,'2-DATASET'!A:A,$AG$2))/2</f>
        <v>1</v>
      </c>
      <c r="G18" s="34">
        <f t="shared" si="1"/>
        <v>0</v>
      </c>
      <c r="H18" s="5">
        <f>(SUMIFS('2-DATASET'!K:K,'2-DATASET'!K:K,3,'2-DATASET'!L:L,1,'2-DATASET'!G:G,'8-Metricas_Avanzadas'!A18,'2-DATASET'!A:A,$AG$2))/3</f>
        <v>0</v>
      </c>
      <c r="I18" s="5">
        <f>(SUMIFS('2-DATASET'!K:K,'2-DATASET'!K:K,3,'2-DATASET'!G:G,'8-Metricas_Avanzadas'!A18,'2-DATASET'!A:A,$AG$2))/3</f>
        <v>0</v>
      </c>
      <c r="J18" s="34">
        <f t="shared" si="2"/>
        <v>0</v>
      </c>
      <c r="K18" s="5">
        <f>(SUMIFS('2-DATASET'!K:K,'2-DATASET'!K:K,1,'2-DATASET'!L:L,1,'2-DATASET'!G:G,'8-Metricas_Avanzadas'!A18,'2-DATASET'!A:A,$AG$2))/1</f>
        <v>1</v>
      </c>
      <c r="L18" s="5">
        <f>(SUMIFS('2-DATASET'!K:K,'2-DATASET'!K:K,1,'2-DATASET'!G:G,'8-Metricas_Avanzadas'!A18,'2-DATASET'!A:A,$AG$2))/1</f>
        <v>2</v>
      </c>
      <c r="M18" s="34">
        <f t="shared" si="3"/>
        <v>0.5</v>
      </c>
      <c r="N18" s="5">
        <f>(SUMIFS('2-DATASET'!T:T,'2-DATASET'!G:G,'8-Metricas_Avanzadas'!A18,'2-DATASET'!A:A,$AG$2))</f>
        <v>0</v>
      </c>
      <c r="O18" s="5">
        <f>(SUMIFS('2-DATASET'!S:S,'2-DATASET'!G:G,'8-Metricas_Avanzadas'!A18,'2-DATASET'!A:A,$AG$2))</f>
        <v>0</v>
      </c>
      <c r="P18" s="5">
        <f t="shared" si="4"/>
        <v>0</v>
      </c>
      <c r="Q18" s="5">
        <f>(SUMIFS('2-DATASET'!U:U,'2-DATASET'!G:G,'8-Metricas_Avanzadas'!A18,'2-DATASET'!A:A,$AG$2))</f>
        <v>1</v>
      </c>
      <c r="R18" s="5">
        <f>(SUMIFS('2-DATASET'!V:V,'2-DATASET'!G:G,'8-Metricas_Avanzadas'!A18,'2-DATASET'!A:A,$AG$2))</f>
        <v>1</v>
      </c>
      <c r="S18" s="5">
        <f>(SUMIFS('2-DATASET'!W:W,'2-DATASET'!G:G,'8-Metricas_Avanzadas'!A18,'2-DATASET'!A:A,$AG$2))</f>
        <v>0</v>
      </c>
      <c r="T18" s="5">
        <f>(SUMIFS('2-DATASET'!X:X,'2-DATASET'!G:G,'8-Metricas_Avanzadas'!A18,'2-DATASET'!A:A,$AG$2))</f>
        <v>0</v>
      </c>
      <c r="U18" s="5">
        <f>(SUMIFS('2-DATASET'!Y:Y,'2-DATASET'!G:G,'8-Metricas_Avanzadas'!A18,'2-DATASET'!A:A,$AG$2))</f>
        <v>0</v>
      </c>
      <c r="V18" s="5">
        <f>(SUMIFS('2-DATASET'!K:K,'2-DATASET'!I:I,"Dunk",'2-DATASET'!G:G,'8-Metricas_Avanzadas'!A18,'2-DATASET'!A:A,$AG$2))/2</f>
        <v>0</v>
      </c>
      <c r="W18" s="5">
        <f>(SUMIFS('2-DATASET'!Z:Z,'2-DATASET'!G:G,'8-Metricas_Avanzadas'!A18,'2-DATASET'!A:A,$AG$2))</f>
        <v>1</v>
      </c>
      <c r="X18" s="5">
        <f>(SUMIFS('2-DATASET'!AA:AA,'2-DATASET'!G:G,'8-Metricas_Avanzadas'!A18,'2-DATASET'!A:A,$AG$2))</f>
        <v>1</v>
      </c>
      <c r="Y18" s="5">
        <f t="shared" si="5"/>
        <v>-1</v>
      </c>
      <c r="Z18" s="55">
        <f t="shared" si="6"/>
        <v>0</v>
      </c>
      <c r="AA18" s="55">
        <f t="shared" si="7"/>
        <v>0.26595744680851063</v>
      </c>
      <c r="AB18" s="56">
        <f t="shared" si="8"/>
        <v>0</v>
      </c>
      <c r="AC18" s="56">
        <f t="shared" si="12"/>
        <v>2.88</v>
      </c>
      <c r="AD18" s="56">
        <f>IF(AC18=0,0,D18/AC18)</f>
        <v>0.34722222222222221</v>
      </c>
      <c r="AE18" s="58"/>
      <c r="AF18" s="34">
        <f>AC18/$AC$31</f>
        <v>0.16143497757847533</v>
      </c>
    </row>
    <row r="19" spans="1:33" x14ac:dyDescent="0.35">
      <c r="A19" s="3" t="s">
        <v>18</v>
      </c>
      <c r="B19" s="3" t="s">
        <v>19</v>
      </c>
      <c r="C19" s="12">
        <f>SUMIFS('2-DATASET'!AE:AE,'2-DATASET'!G:G,'8-Metricas_Avanzadas'!A19,'2-DATASET'!A:A,$AG$2)</f>
        <v>3.6342592592592594E-3</v>
      </c>
      <c r="D19" s="5">
        <f>SUMIFS('2-DATASET'!M:M,'2-DATASET'!G:G,'8-Metricas_Avanzadas'!A19,'2-DATASET'!A:A,$AG$2)</f>
        <v>6</v>
      </c>
      <c r="E19" s="5">
        <f>(SUMIFS('2-DATASET'!K:K,'2-DATASET'!K:K,2,'2-DATASET'!L:L,1,'2-DATASET'!G:G,'8-Metricas_Avanzadas'!A19,'2-DATASET'!A:A,$AG$2))/2</f>
        <v>2</v>
      </c>
      <c r="F19" s="5">
        <f>(SUMIFS('2-DATASET'!K:K,'2-DATASET'!K:K,2,'2-DATASET'!G:G,'8-Metricas_Avanzadas'!A19,'2-DATASET'!A:A,$AG$2))/2</f>
        <v>2</v>
      </c>
      <c r="G19" s="34">
        <f t="shared" si="1"/>
        <v>1</v>
      </c>
      <c r="H19" s="5">
        <f>(SUMIFS('2-DATASET'!K:K,'2-DATASET'!K:K,3,'2-DATASET'!L:L,1,'2-DATASET'!G:G,'8-Metricas_Avanzadas'!A19,'2-DATASET'!A:A,$AG$2))/3</f>
        <v>0</v>
      </c>
      <c r="I19" s="5">
        <f>(SUMIFS('2-DATASET'!K:K,'2-DATASET'!K:K,3,'2-DATASET'!G:G,'8-Metricas_Avanzadas'!A19,'2-DATASET'!A:A,$AG$2))/3</f>
        <v>1</v>
      </c>
      <c r="J19" s="34">
        <f t="shared" si="2"/>
        <v>0</v>
      </c>
      <c r="K19" s="5">
        <f>(SUMIFS('2-DATASET'!K:K,'2-DATASET'!K:K,1,'2-DATASET'!L:L,1,'2-DATASET'!G:G,'8-Metricas_Avanzadas'!A19,'2-DATASET'!A:A,$AG$2))/1</f>
        <v>2</v>
      </c>
      <c r="L19" s="5">
        <f>(SUMIFS('2-DATASET'!K:K,'2-DATASET'!K:K,1,'2-DATASET'!G:G,'8-Metricas_Avanzadas'!A19,'2-DATASET'!A:A,$AG$2))/1</f>
        <v>2</v>
      </c>
      <c r="M19" s="34">
        <f t="shared" si="3"/>
        <v>1</v>
      </c>
      <c r="N19" s="5">
        <f>(SUMIFS('2-DATASET'!T:T,'2-DATASET'!G:G,'8-Metricas_Avanzadas'!A19,'2-DATASET'!A:A,$AG$2))</f>
        <v>1</v>
      </c>
      <c r="O19" s="5">
        <f>(SUMIFS('2-DATASET'!S:S,'2-DATASET'!G:G,'8-Metricas_Avanzadas'!A19,'2-DATASET'!A:A,$AG$2))</f>
        <v>0</v>
      </c>
      <c r="P19" s="5">
        <f t="shared" si="4"/>
        <v>1</v>
      </c>
      <c r="Q19" s="5">
        <f>(SUMIFS('2-DATASET'!U:U,'2-DATASET'!G:G,'8-Metricas_Avanzadas'!A19,'2-DATASET'!A:A,$AG$2))</f>
        <v>1</v>
      </c>
      <c r="R19" s="5">
        <f>(SUMIFS('2-DATASET'!V:V,'2-DATASET'!G:G,'8-Metricas_Avanzadas'!A19,'2-DATASET'!A:A,$AG$2))</f>
        <v>0</v>
      </c>
      <c r="S19" s="5">
        <f>(SUMIFS('2-DATASET'!W:W,'2-DATASET'!G:G,'8-Metricas_Avanzadas'!A19,'2-DATASET'!A:A,$AG$2))</f>
        <v>0</v>
      </c>
      <c r="T19" s="5">
        <f>(SUMIFS('2-DATASET'!X:X,'2-DATASET'!G:G,'8-Metricas_Avanzadas'!A19,'2-DATASET'!A:A,$AG$2))</f>
        <v>0</v>
      </c>
      <c r="U19" s="5">
        <f>(SUMIFS('2-DATASET'!Y:Y,'2-DATASET'!G:G,'8-Metricas_Avanzadas'!A19,'2-DATASET'!A:A,$AG$2))</f>
        <v>0</v>
      </c>
      <c r="V19" s="5">
        <f>(SUMIFS('2-DATASET'!K:K,'2-DATASET'!I:I,"Dunk",'2-DATASET'!G:G,'8-Metricas_Avanzadas'!A19,'2-DATASET'!A:A,$AG$2))/2</f>
        <v>0</v>
      </c>
      <c r="W19" s="5">
        <f>(SUMIFS('2-DATASET'!Z:Z,'2-DATASET'!G:G,'8-Metricas_Avanzadas'!A19,'2-DATASET'!A:A,$AG$2))</f>
        <v>1</v>
      </c>
      <c r="X19" s="5">
        <f>(SUMIFS('2-DATASET'!AA:AA,'2-DATASET'!G:G,'8-Metricas_Avanzadas'!A19,'2-DATASET'!A:A,$AG$2))</f>
        <v>1</v>
      </c>
      <c r="Y19" s="5">
        <f t="shared" si="5"/>
        <v>7</v>
      </c>
      <c r="Z19" s="55">
        <f t="shared" si="6"/>
        <v>0.66666666666666663</v>
      </c>
      <c r="AA19" s="55">
        <f t="shared" si="7"/>
        <v>0.77319587628865982</v>
      </c>
      <c r="AB19" s="56">
        <f t="shared" si="8"/>
        <v>1.3333333333333333</v>
      </c>
      <c r="AC19" s="56">
        <f t="shared" si="12"/>
        <v>2.88</v>
      </c>
      <c r="AD19" s="56">
        <f t="shared" ref="AD19:AD29" si="15">IF(AC19=0,0,D19/AC19)</f>
        <v>2.0833333333333335</v>
      </c>
      <c r="AE19" s="58"/>
      <c r="AF19" s="34">
        <f t="shared" ref="AF19:AF31" si="16">AC19/$AC$31</f>
        <v>0.16143497757847533</v>
      </c>
    </row>
    <row r="20" spans="1:33" x14ac:dyDescent="0.35">
      <c r="A20" s="3" t="s">
        <v>74</v>
      </c>
      <c r="B20" s="3" t="s">
        <v>75</v>
      </c>
      <c r="C20" s="12">
        <f>SUMIFS('2-DATASET'!AE:AE,'2-DATASET'!G:G,'8-Metricas_Avanzadas'!A20,'2-DATASET'!A:A,$AG$2)</f>
        <v>2.9513888888888845E-3</v>
      </c>
      <c r="D20" s="5">
        <f>SUMIFS('2-DATASET'!M:M,'2-DATASET'!G:G,'8-Metricas_Avanzadas'!A20,'2-DATASET'!A:A,$AG$2)</f>
        <v>0</v>
      </c>
      <c r="E20" s="5">
        <f>(SUMIFS('2-DATASET'!K:K,'2-DATASET'!K:K,2,'2-DATASET'!L:L,1,'2-DATASET'!G:G,'8-Metricas_Avanzadas'!A20,'2-DATASET'!A:A,$AG$2))/2</f>
        <v>0</v>
      </c>
      <c r="F20" s="5">
        <f>(SUMIFS('2-DATASET'!K:K,'2-DATASET'!K:K,2,'2-DATASET'!G:G,'8-Metricas_Avanzadas'!A20,'2-DATASET'!A:A,$AG$2))/2</f>
        <v>0</v>
      </c>
      <c r="G20" s="34">
        <f t="shared" si="1"/>
        <v>0</v>
      </c>
      <c r="H20" s="5">
        <f>(SUMIFS('2-DATASET'!K:K,'2-DATASET'!K:K,3,'2-DATASET'!L:L,1,'2-DATASET'!G:G,'8-Metricas_Avanzadas'!A20,'2-DATASET'!A:A,$AG$2))/3</f>
        <v>0</v>
      </c>
      <c r="I20" s="5">
        <f>(SUMIFS('2-DATASET'!K:K,'2-DATASET'!K:K,3,'2-DATASET'!G:G,'8-Metricas_Avanzadas'!A20,'2-DATASET'!A:A,$AG$2))/3</f>
        <v>0</v>
      </c>
      <c r="J20" s="34">
        <f t="shared" si="2"/>
        <v>0</v>
      </c>
      <c r="K20" s="5">
        <f>(SUMIFS('2-DATASET'!K:K,'2-DATASET'!K:K,1,'2-DATASET'!L:L,1,'2-DATASET'!G:G,'8-Metricas_Avanzadas'!A20,'2-DATASET'!A:A,$AG$2))/1</f>
        <v>0</v>
      </c>
      <c r="L20" s="5">
        <f>(SUMIFS('2-DATASET'!K:K,'2-DATASET'!K:K,1,'2-DATASET'!G:G,'8-Metricas_Avanzadas'!A20,'2-DATASET'!A:A,$AG$2))/1</f>
        <v>0</v>
      </c>
      <c r="M20" s="34">
        <f t="shared" si="3"/>
        <v>0</v>
      </c>
      <c r="N20" s="5">
        <f>(SUMIFS('2-DATASET'!T:T,'2-DATASET'!G:G,'8-Metricas_Avanzadas'!A20,'2-DATASET'!A:A,$AG$2))</f>
        <v>0</v>
      </c>
      <c r="O20" s="5">
        <f>(SUMIFS('2-DATASET'!S:S,'2-DATASET'!G:G,'8-Metricas_Avanzadas'!A20,'2-DATASET'!A:A,$AG$2))</f>
        <v>0</v>
      </c>
      <c r="P20" s="5">
        <f t="shared" si="4"/>
        <v>0</v>
      </c>
      <c r="Q20" s="5">
        <f>(SUMIFS('2-DATASET'!U:U,'2-DATASET'!G:G,'8-Metricas_Avanzadas'!A20,'2-DATASET'!A:A,$AG$2))</f>
        <v>0</v>
      </c>
      <c r="R20" s="5">
        <f>(SUMIFS('2-DATASET'!V:V,'2-DATASET'!G:G,'8-Metricas_Avanzadas'!A20,'2-DATASET'!A:A,$AG$2))</f>
        <v>0</v>
      </c>
      <c r="S20" s="5">
        <f>(SUMIFS('2-DATASET'!W:W,'2-DATASET'!G:G,'8-Metricas_Avanzadas'!A20,'2-DATASET'!A:A,$AG$2))</f>
        <v>0</v>
      </c>
      <c r="T20" s="5">
        <f>(SUMIFS('2-DATASET'!X:X,'2-DATASET'!G:G,'8-Metricas_Avanzadas'!A20,'2-DATASET'!A:A,$AG$2))</f>
        <v>0</v>
      </c>
      <c r="U20" s="5">
        <f>(SUMIFS('2-DATASET'!Y:Y,'2-DATASET'!G:G,'8-Metricas_Avanzadas'!A20,'2-DATASET'!A:A,$AG$2))</f>
        <v>0</v>
      </c>
      <c r="V20" s="5">
        <f>(SUMIFS('2-DATASET'!K:K,'2-DATASET'!I:I,"Dunk",'2-DATASET'!G:G,'8-Metricas_Avanzadas'!A20,'2-DATASET'!A:A,$AG$2))/2</f>
        <v>0</v>
      </c>
      <c r="W20" s="5">
        <f>(SUMIFS('2-DATASET'!Z:Z,'2-DATASET'!G:G,'8-Metricas_Avanzadas'!A20,'2-DATASET'!A:A,$AG$2))</f>
        <v>1</v>
      </c>
      <c r="X20" s="5">
        <f>(SUMIFS('2-DATASET'!AA:AA,'2-DATASET'!G:G,'8-Metricas_Avanzadas'!A20,'2-DATASET'!A:A,$AG$2))</f>
        <v>0</v>
      </c>
      <c r="Y20" s="5">
        <f t="shared" si="5"/>
        <v>-1</v>
      </c>
      <c r="Z20" s="55">
        <f t="shared" si="6"/>
        <v>0</v>
      </c>
      <c r="AA20" s="55">
        <f t="shared" si="7"/>
        <v>0</v>
      </c>
      <c r="AB20" s="56">
        <f t="shared" si="8"/>
        <v>0</v>
      </c>
      <c r="AC20" s="56">
        <f t="shared" si="12"/>
        <v>0</v>
      </c>
      <c r="AD20" s="56">
        <f t="shared" si="15"/>
        <v>0</v>
      </c>
      <c r="AE20" s="58"/>
      <c r="AF20" s="34">
        <f t="shared" si="16"/>
        <v>0</v>
      </c>
    </row>
    <row r="21" spans="1:33" x14ac:dyDescent="0.35">
      <c r="A21" s="3" t="s">
        <v>20</v>
      </c>
      <c r="B21" s="3" t="s">
        <v>21</v>
      </c>
      <c r="C21" s="12">
        <f>SUMIFS('2-DATASET'!AE:AE,'2-DATASET'!G:G,'8-Metricas_Avanzadas'!A21,'2-DATASET'!A:A,$AG$2)</f>
        <v>2.9513888888888888E-3</v>
      </c>
      <c r="D21" s="5">
        <f>SUMIFS('2-DATASET'!M:M,'2-DATASET'!G:G,'8-Metricas_Avanzadas'!A21,'2-DATASET'!A:A,$AG$2)</f>
        <v>4</v>
      </c>
      <c r="E21" s="5">
        <f>(SUMIFS('2-DATASET'!K:K,'2-DATASET'!K:K,2,'2-DATASET'!L:L,1,'2-DATASET'!G:G,'8-Metricas_Avanzadas'!A21,'2-DATASET'!A:A,$AG$2))/2</f>
        <v>1</v>
      </c>
      <c r="F21" s="5">
        <f>(SUMIFS('2-DATASET'!K:K,'2-DATASET'!K:K,2,'2-DATASET'!G:G,'8-Metricas_Avanzadas'!A21,'2-DATASET'!A:A,$AG$2))/2</f>
        <v>1</v>
      </c>
      <c r="G21" s="34">
        <f t="shared" si="1"/>
        <v>1</v>
      </c>
      <c r="H21" s="5">
        <f>(SUMIFS('2-DATASET'!K:K,'2-DATASET'!K:K,3,'2-DATASET'!L:L,1,'2-DATASET'!G:G,'8-Metricas_Avanzadas'!A21,'2-DATASET'!A:A,$AG$2))/3</f>
        <v>0</v>
      </c>
      <c r="I21" s="5">
        <f>(SUMIFS('2-DATASET'!K:K,'2-DATASET'!K:K,3,'2-DATASET'!G:G,'8-Metricas_Avanzadas'!A21,'2-DATASET'!A:A,$AG$2))/3</f>
        <v>0</v>
      </c>
      <c r="J21" s="34">
        <f t="shared" si="2"/>
        <v>0</v>
      </c>
      <c r="K21" s="5">
        <f>(SUMIFS('2-DATASET'!K:K,'2-DATASET'!K:K,1,'2-DATASET'!L:L,1,'2-DATASET'!G:G,'8-Metricas_Avanzadas'!A21,'2-DATASET'!A:A,$AG$2))/1</f>
        <v>2</v>
      </c>
      <c r="L21" s="5">
        <f>(SUMIFS('2-DATASET'!K:K,'2-DATASET'!K:K,1,'2-DATASET'!G:G,'8-Metricas_Avanzadas'!A21,'2-DATASET'!A:A,$AG$2))/1</f>
        <v>2</v>
      </c>
      <c r="M21" s="34">
        <f t="shared" si="3"/>
        <v>1</v>
      </c>
      <c r="N21" s="5">
        <f>(SUMIFS('2-DATASET'!T:T,'2-DATASET'!G:G,'8-Metricas_Avanzadas'!A21,'2-DATASET'!A:A,$AG$2))</f>
        <v>1</v>
      </c>
      <c r="O21" s="5">
        <f>(SUMIFS('2-DATASET'!S:S,'2-DATASET'!G:G,'8-Metricas_Avanzadas'!A21,'2-DATASET'!A:A,$AG$2))</f>
        <v>0</v>
      </c>
      <c r="P21" s="5">
        <f t="shared" si="4"/>
        <v>1</v>
      </c>
      <c r="Q21" s="5">
        <f>(SUMIFS('2-DATASET'!U:U,'2-DATASET'!G:G,'8-Metricas_Avanzadas'!A21,'2-DATASET'!A:A,$AG$2))</f>
        <v>1</v>
      </c>
      <c r="R21" s="5">
        <f>(SUMIFS('2-DATASET'!V:V,'2-DATASET'!G:G,'8-Metricas_Avanzadas'!A21,'2-DATASET'!A:A,$AG$2))</f>
        <v>0</v>
      </c>
      <c r="S21" s="5">
        <f>(SUMIFS('2-DATASET'!W:W,'2-DATASET'!G:G,'8-Metricas_Avanzadas'!A21,'2-DATASET'!A:A,$AG$2))</f>
        <v>0</v>
      </c>
      <c r="T21" s="5">
        <f>(SUMIFS('2-DATASET'!X:X,'2-DATASET'!G:G,'8-Metricas_Avanzadas'!A21,'2-DATASET'!A:A,$AG$2))</f>
        <v>0</v>
      </c>
      <c r="U21" s="5">
        <f>(SUMIFS('2-DATASET'!Y:Y,'2-DATASET'!G:G,'8-Metricas_Avanzadas'!A21,'2-DATASET'!A:A,$AG$2))</f>
        <v>0</v>
      </c>
      <c r="V21" s="5">
        <f>(SUMIFS('2-DATASET'!K:K,'2-DATASET'!I:I,"Dunk",'2-DATASET'!G:G,'8-Metricas_Avanzadas'!A21,'2-DATASET'!A:A,$AG$2))/2</f>
        <v>0</v>
      </c>
      <c r="W21" s="5">
        <f>(SUMIFS('2-DATASET'!Z:Z,'2-DATASET'!G:G,'8-Metricas_Avanzadas'!A21,'2-DATASET'!A:A,$AG$2))</f>
        <v>0</v>
      </c>
      <c r="X21" s="5">
        <f>(SUMIFS('2-DATASET'!AA:AA,'2-DATASET'!G:G,'8-Metricas_Avanzadas'!A21,'2-DATASET'!A:A,$AG$2))</f>
        <v>2</v>
      </c>
      <c r="Y21" s="5">
        <f t="shared" si="5"/>
        <v>8</v>
      </c>
      <c r="Z21" s="55">
        <f t="shared" si="6"/>
        <v>1</v>
      </c>
      <c r="AA21" s="55">
        <f t="shared" si="7"/>
        <v>1.0638297872340425</v>
      </c>
      <c r="AB21" s="56">
        <f t="shared" si="8"/>
        <v>2</v>
      </c>
      <c r="AC21" s="56">
        <f t="shared" si="12"/>
        <v>1.88</v>
      </c>
      <c r="AD21" s="56">
        <f t="shared" si="15"/>
        <v>2.1276595744680851</v>
      </c>
      <c r="AE21" s="58"/>
      <c r="AF21" s="34">
        <f t="shared" si="16"/>
        <v>0.10538116591928251</v>
      </c>
    </row>
    <row r="22" spans="1:33" x14ac:dyDescent="0.35">
      <c r="A22" s="3" t="s">
        <v>22</v>
      </c>
      <c r="B22" s="3" t="s">
        <v>23</v>
      </c>
      <c r="C22" s="12">
        <f>SUMIFS('2-DATASET'!AE:AE,'2-DATASET'!G:G,'8-Metricas_Avanzadas'!A22,'2-DATASET'!A:A,$AG$2)</f>
        <v>1.6087962962962963E-3</v>
      </c>
      <c r="D22" s="5">
        <f>SUMIFS('2-DATASET'!M:M,'2-DATASET'!G:G,'8-Metricas_Avanzadas'!A22,'2-DATASET'!A:A,$AG$2)</f>
        <v>0</v>
      </c>
      <c r="E22" s="5">
        <f>(SUMIFS('2-DATASET'!K:K,'2-DATASET'!K:K,2,'2-DATASET'!L:L,1,'2-DATASET'!G:G,'8-Metricas_Avanzadas'!A22,'2-DATASET'!A:A,$AG$2))/2</f>
        <v>0</v>
      </c>
      <c r="F22" s="5">
        <f>(SUMIFS('2-DATASET'!K:K,'2-DATASET'!K:K,2,'2-DATASET'!G:G,'8-Metricas_Avanzadas'!A22,'2-DATASET'!A:A,$AG$2))/2</f>
        <v>1</v>
      </c>
      <c r="G22" s="34">
        <f t="shared" si="1"/>
        <v>0</v>
      </c>
      <c r="H22" s="5">
        <f>(SUMIFS('2-DATASET'!K:K,'2-DATASET'!K:K,3,'2-DATASET'!L:L,1,'2-DATASET'!G:G,'8-Metricas_Avanzadas'!A22,'2-DATASET'!A:A,$AG$2))/3</f>
        <v>0</v>
      </c>
      <c r="I22" s="5">
        <f>(SUMIFS('2-DATASET'!K:K,'2-DATASET'!K:K,3,'2-DATASET'!G:G,'8-Metricas_Avanzadas'!A22,'2-DATASET'!A:A,$AG$2))/3</f>
        <v>0</v>
      </c>
      <c r="J22" s="34">
        <f t="shared" si="2"/>
        <v>0</v>
      </c>
      <c r="K22" s="5">
        <f>(SUMIFS('2-DATASET'!K:K,'2-DATASET'!K:K,1,'2-DATASET'!L:L,1,'2-DATASET'!G:G,'8-Metricas_Avanzadas'!A22,'2-DATASET'!A:A,$AG$2))/1</f>
        <v>0</v>
      </c>
      <c r="L22" s="5">
        <f>(SUMIFS('2-DATASET'!K:K,'2-DATASET'!K:K,1,'2-DATASET'!G:G,'8-Metricas_Avanzadas'!A22,'2-DATASET'!A:A,$AG$2))/1</f>
        <v>0</v>
      </c>
      <c r="M22" s="34">
        <f t="shared" si="3"/>
        <v>0</v>
      </c>
      <c r="N22" s="5">
        <f>(SUMIFS('2-DATASET'!T:T,'2-DATASET'!G:G,'8-Metricas_Avanzadas'!A22,'2-DATASET'!A:A,$AG$2))</f>
        <v>0</v>
      </c>
      <c r="O22" s="5">
        <f>(SUMIFS('2-DATASET'!S:S,'2-DATASET'!G:G,'8-Metricas_Avanzadas'!A22,'2-DATASET'!A:A,$AG$2))</f>
        <v>0</v>
      </c>
      <c r="P22" s="5">
        <f t="shared" si="4"/>
        <v>0</v>
      </c>
      <c r="Q22" s="5">
        <f>(SUMIFS('2-DATASET'!U:U,'2-DATASET'!G:G,'8-Metricas_Avanzadas'!A22,'2-DATASET'!A:A,$AG$2))</f>
        <v>0</v>
      </c>
      <c r="R22" s="5">
        <f>(SUMIFS('2-DATASET'!V:V,'2-DATASET'!G:G,'8-Metricas_Avanzadas'!A22,'2-DATASET'!A:A,$AG$2))</f>
        <v>0</v>
      </c>
      <c r="S22" s="5">
        <f>(SUMIFS('2-DATASET'!W:W,'2-DATASET'!G:G,'8-Metricas_Avanzadas'!A22,'2-DATASET'!A:A,$AG$2))</f>
        <v>0</v>
      </c>
      <c r="T22" s="5">
        <f>(SUMIFS('2-DATASET'!X:X,'2-DATASET'!G:G,'8-Metricas_Avanzadas'!A22,'2-DATASET'!A:A,$AG$2))</f>
        <v>0</v>
      </c>
      <c r="U22" s="5">
        <f>(SUMIFS('2-DATASET'!Y:Y,'2-DATASET'!G:G,'8-Metricas_Avanzadas'!A22,'2-DATASET'!A:A,$AG$2))</f>
        <v>0</v>
      </c>
      <c r="V22" s="5">
        <f>(SUMIFS('2-DATASET'!K:K,'2-DATASET'!I:I,"Dunk",'2-DATASET'!G:G,'8-Metricas_Avanzadas'!A22,'2-DATASET'!A:A,$AG$2))/2</f>
        <v>0</v>
      </c>
      <c r="W22" s="5">
        <f>(SUMIFS('2-DATASET'!Z:Z,'2-DATASET'!G:G,'8-Metricas_Avanzadas'!A22,'2-DATASET'!A:A,$AG$2))</f>
        <v>0</v>
      </c>
      <c r="X22" s="5">
        <f>(SUMIFS('2-DATASET'!AA:AA,'2-DATASET'!G:G,'8-Metricas_Avanzadas'!A22,'2-DATASET'!A:A,$AG$2))</f>
        <v>0</v>
      </c>
      <c r="Y22" s="5">
        <f t="shared" si="5"/>
        <v>-1</v>
      </c>
      <c r="Z22" s="55">
        <f t="shared" si="6"/>
        <v>0</v>
      </c>
      <c r="AA22" s="55">
        <f t="shared" si="7"/>
        <v>0</v>
      </c>
      <c r="AB22" s="56">
        <f t="shared" si="8"/>
        <v>0</v>
      </c>
      <c r="AC22" s="56">
        <f t="shared" si="12"/>
        <v>1</v>
      </c>
      <c r="AD22" s="56">
        <f t="shared" si="15"/>
        <v>0</v>
      </c>
      <c r="AE22" s="58"/>
      <c r="AF22" s="34">
        <f t="shared" si="16"/>
        <v>5.6053811659192827E-2</v>
      </c>
    </row>
    <row r="23" spans="1:33" x14ac:dyDescent="0.35">
      <c r="A23" s="3" t="s">
        <v>24</v>
      </c>
      <c r="B23" s="3" t="s">
        <v>76</v>
      </c>
      <c r="C23" s="12">
        <f>SUMIFS('2-DATASET'!AE:AE,'2-DATASET'!G:G,'8-Metricas_Avanzadas'!A23,'2-DATASET'!A:A,$AG$2)</f>
        <v>2.3842592592592587E-3</v>
      </c>
      <c r="D23" s="5">
        <f>SUMIFS('2-DATASET'!M:M,'2-DATASET'!G:G,'8-Metricas_Avanzadas'!A23,'2-DATASET'!A:A,$AG$2)</f>
        <v>2</v>
      </c>
      <c r="E23" s="5">
        <f>(SUMIFS('2-DATASET'!K:K,'2-DATASET'!K:K,2,'2-DATASET'!L:L,1,'2-DATASET'!G:G,'8-Metricas_Avanzadas'!A23,'2-DATASET'!A:A,$AG$2))/2</f>
        <v>0</v>
      </c>
      <c r="F23" s="5">
        <f>(SUMIFS('2-DATASET'!K:K,'2-DATASET'!K:K,2,'2-DATASET'!G:G,'8-Metricas_Avanzadas'!A23,'2-DATASET'!A:A,$AG$2))/2</f>
        <v>1</v>
      </c>
      <c r="G23" s="34">
        <f t="shared" si="1"/>
        <v>0</v>
      </c>
      <c r="H23" s="5">
        <f>(SUMIFS('2-DATASET'!K:K,'2-DATASET'!K:K,3,'2-DATASET'!L:L,1,'2-DATASET'!G:G,'8-Metricas_Avanzadas'!A23,'2-DATASET'!A:A,$AG$2))/3</f>
        <v>0</v>
      </c>
      <c r="I23" s="5">
        <f>(SUMIFS('2-DATASET'!K:K,'2-DATASET'!K:K,3,'2-DATASET'!G:G,'8-Metricas_Avanzadas'!A23,'2-DATASET'!A:A,$AG$2))/3</f>
        <v>1</v>
      </c>
      <c r="J23" s="34">
        <f t="shared" si="2"/>
        <v>0</v>
      </c>
      <c r="K23" s="5">
        <f>(SUMIFS('2-DATASET'!K:K,'2-DATASET'!K:K,1,'2-DATASET'!L:L,1,'2-DATASET'!G:G,'8-Metricas_Avanzadas'!A23,'2-DATASET'!A:A,$AG$2))/1</f>
        <v>2</v>
      </c>
      <c r="L23" s="5">
        <f>(SUMIFS('2-DATASET'!K:K,'2-DATASET'!K:K,1,'2-DATASET'!G:G,'8-Metricas_Avanzadas'!A23,'2-DATASET'!A:A,$AG$2))/1</f>
        <v>3</v>
      </c>
      <c r="M23" s="34">
        <f t="shared" si="3"/>
        <v>0.66666666666666663</v>
      </c>
      <c r="N23" s="5">
        <f>(SUMIFS('2-DATASET'!T:T,'2-DATASET'!G:G,'8-Metricas_Avanzadas'!A23,'2-DATASET'!A:A,$AG$2))</f>
        <v>0</v>
      </c>
      <c r="O23" s="5">
        <f>(SUMIFS('2-DATASET'!S:S,'2-DATASET'!G:G,'8-Metricas_Avanzadas'!A23,'2-DATASET'!A:A,$AG$2))</f>
        <v>0</v>
      </c>
      <c r="P23" s="5">
        <f t="shared" si="4"/>
        <v>0</v>
      </c>
      <c r="Q23" s="5">
        <f>(SUMIFS('2-DATASET'!U:U,'2-DATASET'!G:G,'8-Metricas_Avanzadas'!A23,'2-DATASET'!A:A,$AG$2))</f>
        <v>0</v>
      </c>
      <c r="R23" s="5">
        <f>(SUMIFS('2-DATASET'!V:V,'2-DATASET'!G:G,'8-Metricas_Avanzadas'!A23,'2-DATASET'!A:A,$AG$2))</f>
        <v>0</v>
      </c>
      <c r="S23" s="5">
        <f>(SUMIFS('2-DATASET'!W:W,'2-DATASET'!G:G,'8-Metricas_Avanzadas'!A23,'2-DATASET'!A:A,$AG$2))</f>
        <v>0</v>
      </c>
      <c r="T23" s="5">
        <f>(SUMIFS('2-DATASET'!X:X,'2-DATASET'!G:G,'8-Metricas_Avanzadas'!A23,'2-DATASET'!A:A,$AG$2))</f>
        <v>0</v>
      </c>
      <c r="U23" s="5">
        <f>(SUMIFS('2-DATASET'!Y:Y,'2-DATASET'!G:G,'8-Metricas_Avanzadas'!A23,'2-DATASET'!A:A,$AG$2))</f>
        <v>1</v>
      </c>
      <c r="V23" s="5">
        <f>(SUMIFS('2-DATASET'!K:K,'2-DATASET'!I:I,"Dunk",'2-DATASET'!G:G,'8-Metricas_Avanzadas'!A23,'2-DATASET'!A:A,$AG$2))/2</f>
        <v>0</v>
      </c>
      <c r="W23" s="5">
        <f>(SUMIFS('2-DATASET'!Z:Z,'2-DATASET'!G:G,'8-Metricas_Avanzadas'!A23,'2-DATASET'!A:A,$AG$2))</f>
        <v>0</v>
      </c>
      <c r="X23" s="5">
        <f>(SUMIFS('2-DATASET'!AA:AA,'2-DATASET'!G:G,'8-Metricas_Avanzadas'!A23,'2-DATASET'!A:A,$AG$2))</f>
        <v>1</v>
      </c>
      <c r="Y23" s="5">
        <f t="shared" si="5"/>
        <v>-1</v>
      </c>
      <c r="Z23" s="55">
        <f t="shared" si="6"/>
        <v>0</v>
      </c>
      <c r="AA23" s="55">
        <f t="shared" si="7"/>
        <v>0.3012048192771084</v>
      </c>
      <c r="AB23" s="56">
        <f t="shared" si="8"/>
        <v>0</v>
      </c>
      <c r="AC23" s="56">
        <f t="shared" si="12"/>
        <v>2.3200000000000003</v>
      </c>
      <c r="AD23" s="56">
        <f t="shared" si="15"/>
        <v>0.86206896551724133</v>
      </c>
      <c r="AE23" s="58"/>
      <c r="AF23" s="34">
        <f t="shared" si="16"/>
        <v>0.13004484304932737</v>
      </c>
    </row>
    <row r="24" spans="1:33" x14ac:dyDescent="0.35">
      <c r="A24" s="3" t="s">
        <v>45</v>
      </c>
      <c r="B24" s="3" t="s">
        <v>77</v>
      </c>
      <c r="C24" s="12">
        <f>SUMIFS('2-DATASET'!AE:AE,'2-DATASET'!G:G,'8-Metricas_Avanzadas'!A24,'2-DATASET'!A:A,$AG$2)</f>
        <v>3.1481481481481482E-3</v>
      </c>
      <c r="D24" s="5">
        <f>SUMIFS('2-DATASET'!M:M,'2-DATASET'!G:G,'8-Metricas_Avanzadas'!A24,'2-DATASET'!A:A,$AG$2)</f>
        <v>6</v>
      </c>
      <c r="E24" s="5">
        <f>(SUMIFS('2-DATASET'!K:K,'2-DATASET'!K:K,2,'2-DATASET'!L:L,1,'2-DATASET'!G:G,'8-Metricas_Avanzadas'!A24,'2-DATASET'!A:A,$AG$2))/2</f>
        <v>2</v>
      </c>
      <c r="F24" s="5">
        <f>(SUMIFS('2-DATASET'!K:K,'2-DATASET'!K:K,2,'2-DATASET'!G:G,'8-Metricas_Avanzadas'!A24,'2-DATASET'!A:A,$AG$2))/2</f>
        <v>2</v>
      </c>
      <c r="G24" s="34">
        <f t="shared" si="1"/>
        <v>1</v>
      </c>
      <c r="H24" s="5">
        <f>(SUMIFS('2-DATASET'!K:K,'2-DATASET'!K:K,3,'2-DATASET'!L:L,1,'2-DATASET'!G:G,'8-Metricas_Avanzadas'!A24,'2-DATASET'!A:A,$AG$2))/3</f>
        <v>0</v>
      </c>
      <c r="I24" s="5">
        <f>(SUMIFS('2-DATASET'!K:K,'2-DATASET'!K:K,3,'2-DATASET'!G:G,'8-Metricas_Avanzadas'!A24,'2-DATASET'!A:A,$AG$2))/3</f>
        <v>0</v>
      </c>
      <c r="J24" s="34">
        <f t="shared" si="2"/>
        <v>0</v>
      </c>
      <c r="K24" s="5">
        <f>(SUMIFS('2-DATASET'!K:K,'2-DATASET'!K:K,1,'2-DATASET'!L:L,1,'2-DATASET'!G:G,'8-Metricas_Avanzadas'!A24,'2-DATASET'!A:A,$AG$2))/1</f>
        <v>2</v>
      </c>
      <c r="L24" s="5">
        <f>(SUMIFS('2-DATASET'!K:K,'2-DATASET'!K:K,1,'2-DATASET'!G:G,'8-Metricas_Avanzadas'!A24,'2-DATASET'!A:A,$AG$2))/1</f>
        <v>2</v>
      </c>
      <c r="M24" s="34">
        <f t="shared" si="3"/>
        <v>1</v>
      </c>
      <c r="N24" s="5">
        <f>(SUMIFS('2-DATASET'!T:T,'2-DATASET'!G:G,'8-Metricas_Avanzadas'!A24,'2-DATASET'!A:A,$AG$2))</f>
        <v>0</v>
      </c>
      <c r="O24" s="5">
        <f>(SUMIFS('2-DATASET'!S:S,'2-DATASET'!G:G,'8-Metricas_Avanzadas'!A24,'2-DATASET'!A:A,$AG$2))</f>
        <v>1</v>
      </c>
      <c r="P24" s="5">
        <f t="shared" si="4"/>
        <v>1</v>
      </c>
      <c r="Q24" s="5">
        <f>(SUMIFS('2-DATASET'!U:U,'2-DATASET'!G:G,'8-Metricas_Avanzadas'!A24,'2-DATASET'!A:A,$AG$2))</f>
        <v>0</v>
      </c>
      <c r="R24" s="5">
        <f>(SUMIFS('2-DATASET'!V:V,'2-DATASET'!G:G,'8-Metricas_Avanzadas'!A24,'2-DATASET'!A:A,$AG$2))</f>
        <v>1</v>
      </c>
      <c r="S24" s="5">
        <f>(SUMIFS('2-DATASET'!W:W,'2-DATASET'!G:G,'8-Metricas_Avanzadas'!A24,'2-DATASET'!A:A,$AG$2))</f>
        <v>1</v>
      </c>
      <c r="T24" s="5">
        <f>(SUMIFS('2-DATASET'!X:X,'2-DATASET'!G:G,'8-Metricas_Avanzadas'!A24,'2-DATASET'!A:A,$AG$2))</f>
        <v>0</v>
      </c>
      <c r="U24" s="5">
        <f>(SUMIFS('2-DATASET'!Y:Y,'2-DATASET'!G:G,'8-Metricas_Avanzadas'!A24,'2-DATASET'!A:A,$AG$2))</f>
        <v>0</v>
      </c>
      <c r="V24" s="5">
        <f>(SUMIFS('2-DATASET'!K:K,'2-DATASET'!I:I,"Dunk",'2-DATASET'!G:G,'8-Metricas_Avanzadas'!A24,'2-DATASET'!A:A,$AG$2))/2</f>
        <v>0</v>
      </c>
      <c r="W24" s="5">
        <f>(SUMIFS('2-DATASET'!Z:Z,'2-DATASET'!G:G,'8-Metricas_Avanzadas'!A24,'2-DATASET'!A:A,$AG$2))</f>
        <v>2</v>
      </c>
      <c r="X24" s="5">
        <f>(SUMIFS('2-DATASET'!AA:AA,'2-DATASET'!G:G,'8-Metricas_Avanzadas'!A24,'2-DATASET'!A:A,$AG$2))</f>
        <v>2</v>
      </c>
      <c r="Y24" s="5">
        <f t="shared" si="5"/>
        <v>7</v>
      </c>
      <c r="Z24" s="55">
        <f t="shared" si="6"/>
        <v>1</v>
      </c>
      <c r="AA24" s="55">
        <f t="shared" si="7"/>
        <v>1.0416666666666667</v>
      </c>
      <c r="AB24" s="56">
        <f t="shared" si="8"/>
        <v>2</v>
      </c>
      <c r="AC24" s="56">
        <f t="shared" si="12"/>
        <v>2.88</v>
      </c>
      <c r="AD24" s="56">
        <f t="shared" si="15"/>
        <v>2.0833333333333335</v>
      </c>
      <c r="AE24" s="58"/>
      <c r="AF24" s="34">
        <f t="shared" si="16"/>
        <v>0.16143497757847533</v>
      </c>
    </row>
    <row r="25" spans="1:33" x14ac:dyDescent="0.35">
      <c r="A25" s="3" t="s">
        <v>25</v>
      </c>
      <c r="B25" s="3" t="s">
        <v>26</v>
      </c>
      <c r="C25" s="12">
        <f>SUMIFS('2-DATASET'!AE:AE,'2-DATASET'!G:G,'8-Metricas_Avanzadas'!A25,'2-DATASET'!A:A,$AG$2)</f>
        <v>2.2453703703703698E-3</v>
      </c>
      <c r="D25" s="5">
        <f>SUMIFS('2-DATASET'!M:M,'2-DATASET'!G:G,'8-Metricas_Avanzadas'!A25,'2-DATASET'!A:A,$AG$2)</f>
        <v>4</v>
      </c>
      <c r="E25" s="5">
        <f>(SUMIFS('2-DATASET'!K:K,'2-DATASET'!K:K,2,'2-DATASET'!L:L,1,'2-DATASET'!G:G,'8-Metricas_Avanzadas'!A25,'2-DATASET'!A:A,$AG$2))/2</f>
        <v>2</v>
      </c>
      <c r="F25" s="5">
        <f>(SUMIFS('2-DATASET'!K:K,'2-DATASET'!K:K,2,'2-DATASET'!G:G,'8-Metricas_Avanzadas'!A25,'2-DATASET'!A:A,$AG$2))/2</f>
        <v>2</v>
      </c>
      <c r="G25" s="34">
        <f t="shared" si="1"/>
        <v>1</v>
      </c>
      <c r="H25" s="5">
        <f>(SUMIFS('2-DATASET'!K:K,'2-DATASET'!K:K,3,'2-DATASET'!L:L,1,'2-DATASET'!G:G,'8-Metricas_Avanzadas'!A25,'2-DATASET'!A:A,$AG$2))/3</f>
        <v>0</v>
      </c>
      <c r="I25" s="5">
        <f>(SUMIFS('2-DATASET'!K:K,'2-DATASET'!K:K,3,'2-DATASET'!G:G,'8-Metricas_Avanzadas'!A25,'2-DATASET'!A:A,$AG$2))/3</f>
        <v>0</v>
      </c>
      <c r="J25" s="34">
        <f t="shared" si="2"/>
        <v>0</v>
      </c>
      <c r="K25" s="5">
        <f>(SUMIFS('2-DATASET'!K:K,'2-DATASET'!K:K,1,'2-DATASET'!L:L,1,'2-DATASET'!G:G,'8-Metricas_Avanzadas'!A25,'2-DATASET'!A:A,$AG$2))/1</f>
        <v>0</v>
      </c>
      <c r="L25" s="5">
        <f>(SUMIFS('2-DATASET'!K:K,'2-DATASET'!K:K,1,'2-DATASET'!G:G,'8-Metricas_Avanzadas'!A25,'2-DATASET'!A:A,$AG$2))/1</f>
        <v>0</v>
      </c>
      <c r="M25" s="34">
        <f t="shared" si="3"/>
        <v>0</v>
      </c>
      <c r="N25" s="5">
        <f>(SUMIFS('2-DATASET'!T:T,'2-DATASET'!G:G,'8-Metricas_Avanzadas'!A25,'2-DATASET'!A:A,$AG$2))</f>
        <v>0</v>
      </c>
      <c r="O25" s="5">
        <f>(SUMIFS('2-DATASET'!S:S,'2-DATASET'!G:G,'8-Metricas_Avanzadas'!A25,'2-DATASET'!A:A,$AG$2))</f>
        <v>0</v>
      </c>
      <c r="P25" s="5">
        <f t="shared" si="4"/>
        <v>0</v>
      </c>
      <c r="Q25" s="5">
        <f>(SUMIFS('2-DATASET'!U:U,'2-DATASET'!G:G,'8-Metricas_Avanzadas'!A25,'2-DATASET'!A:A,$AG$2))</f>
        <v>0</v>
      </c>
      <c r="R25" s="5">
        <f>(SUMIFS('2-DATASET'!V:V,'2-DATASET'!G:G,'8-Metricas_Avanzadas'!A25,'2-DATASET'!A:A,$AG$2))</f>
        <v>0</v>
      </c>
      <c r="S25" s="5">
        <f>(SUMIFS('2-DATASET'!W:W,'2-DATASET'!G:G,'8-Metricas_Avanzadas'!A25,'2-DATASET'!A:A,$AG$2))</f>
        <v>0</v>
      </c>
      <c r="T25" s="5">
        <f>(SUMIFS('2-DATASET'!X:X,'2-DATASET'!G:G,'8-Metricas_Avanzadas'!A25,'2-DATASET'!A:A,$AG$2))</f>
        <v>0</v>
      </c>
      <c r="U25" s="5">
        <f>(SUMIFS('2-DATASET'!Y:Y,'2-DATASET'!G:G,'8-Metricas_Avanzadas'!A25,'2-DATASET'!A:A,$AG$2))</f>
        <v>0</v>
      </c>
      <c r="V25" s="5">
        <f>(SUMIFS('2-DATASET'!K:K,'2-DATASET'!I:I,"Dunk",'2-DATASET'!G:G,'8-Metricas_Avanzadas'!A25,'2-DATASET'!A:A,$AG$2))/2</f>
        <v>1</v>
      </c>
      <c r="W25" s="5">
        <f>(SUMIFS('2-DATASET'!Z:Z,'2-DATASET'!G:G,'8-Metricas_Avanzadas'!A25,'2-DATASET'!A:A,$AG$2))</f>
        <v>2</v>
      </c>
      <c r="X25" s="5">
        <f>(SUMIFS('2-DATASET'!AA:AA,'2-DATASET'!G:G,'8-Metricas_Avanzadas'!A25,'2-DATASET'!A:A,$AG$2))</f>
        <v>0</v>
      </c>
      <c r="Y25" s="5">
        <f t="shared" si="5"/>
        <v>2</v>
      </c>
      <c r="Z25" s="55">
        <f t="shared" si="6"/>
        <v>1</v>
      </c>
      <c r="AA25" s="55">
        <f t="shared" si="7"/>
        <v>1</v>
      </c>
      <c r="AB25" s="56">
        <f t="shared" si="8"/>
        <v>2</v>
      </c>
      <c r="AC25" s="56">
        <f t="shared" si="12"/>
        <v>2</v>
      </c>
      <c r="AD25" s="56">
        <f t="shared" si="15"/>
        <v>2</v>
      </c>
      <c r="AE25" s="58"/>
      <c r="AF25" s="34">
        <f t="shared" si="16"/>
        <v>0.11210762331838565</v>
      </c>
    </row>
    <row r="26" spans="1:33" x14ac:dyDescent="0.35">
      <c r="A26" s="3" t="s">
        <v>38</v>
      </c>
      <c r="B26" s="3" t="s">
        <v>37</v>
      </c>
      <c r="C26" s="12">
        <f>SUMIFS('2-DATASET'!AE:AE,'2-DATASET'!G:G,'8-Metricas_Avanzadas'!A26,'2-DATASET'!A:A,$AG$2)</f>
        <v>2.9513888888888888E-3</v>
      </c>
      <c r="D26" s="5">
        <f>SUMIFS('2-DATASET'!M:M,'2-DATASET'!G:G,'8-Metricas_Avanzadas'!A26,'2-DATASET'!A:A,$AG$2)</f>
        <v>0</v>
      </c>
      <c r="E26" s="5">
        <f>(SUMIFS('2-DATASET'!K:K,'2-DATASET'!K:K,2,'2-DATASET'!L:L,1,'2-DATASET'!G:G,'8-Metricas_Avanzadas'!A26,'2-DATASET'!A:A,$AG$2))/2</f>
        <v>0</v>
      </c>
      <c r="F26" s="5">
        <f>(SUMIFS('2-DATASET'!K:K,'2-DATASET'!K:K,2,'2-DATASET'!G:G,'8-Metricas_Avanzadas'!A26,'2-DATASET'!A:A,$AG$2))/2</f>
        <v>0</v>
      </c>
      <c r="G26" s="34">
        <f t="shared" si="1"/>
        <v>0</v>
      </c>
      <c r="H26" s="5">
        <f>(SUMIFS('2-DATASET'!K:K,'2-DATASET'!K:K,3,'2-DATASET'!L:L,1,'2-DATASET'!G:G,'8-Metricas_Avanzadas'!A26,'2-DATASET'!A:A,$AG$2))/3</f>
        <v>0</v>
      </c>
      <c r="I26" s="5">
        <f>(SUMIFS('2-DATASET'!K:K,'2-DATASET'!K:K,3,'2-DATASET'!G:G,'8-Metricas_Avanzadas'!A26,'2-DATASET'!A:A,$AG$2))/3</f>
        <v>0</v>
      </c>
      <c r="J26" s="34">
        <f t="shared" si="2"/>
        <v>0</v>
      </c>
      <c r="K26" s="5">
        <f>(SUMIFS('2-DATASET'!K:K,'2-DATASET'!K:K,1,'2-DATASET'!L:L,1,'2-DATASET'!G:G,'8-Metricas_Avanzadas'!A26,'2-DATASET'!A:A,$AG$2))/1</f>
        <v>0</v>
      </c>
      <c r="L26" s="5">
        <f>(SUMIFS('2-DATASET'!K:K,'2-DATASET'!K:K,1,'2-DATASET'!G:G,'8-Metricas_Avanzadas'!A26,'2-DATASET'!A:A,$AG$2))/1</f>
        <v>0</v>
      </c>
      <c r="M26" s="34">
        <f t="shared" si="3"/>
        <v>0</v>
      </c>
      <c r="N26" s="5">
        <f>(SUMIFS('2-DATASET'!T:T,'2-DATASET'!G:G,'8-Metricas_Avanzadas'!A26,'2-DATASET'!A:A,$AG$2))</f>
        <v>0</v>
      </c>
      <c r="O26" s="5">
        <f>(SUMIFS('2-DATASET'!S:S,'2-DATASET'!G:G,'8-Metricas_Avanzadas'!A26,'2-DATASET'!A:A,$AG$2))</f>
        <v>0</v>
      </c>
      <c r="P26" s="5">
        <f t="shared" si="4"/>
        <v>0</v>
      </c>
      <c r="Q26" s="5">
        <f>(SUMIFS('2-DATASET'!U:U,'2-DATASET'!G:G,'8-Metricas_Avanzadas'!A26,'2-DATASET'!A:A,$AG$2))</f>
        <v>0</v>
      </c>
      <c r="R26" s="5">
        <f>(SUMIFS('2-DATASET'!V:V,'2-DATASET'!G:G,'8-Metricas_Avanzadas'!A26,'2-DATASET'!A:A,$AG$2))</f>
        <v>1</v>
      </c>
      <c r="S26" s="5">
        <f>(SUMIFS('2-DATASET'!W:W,'2-DATASET'!G:G,'8-Metricas_Avanzadas'!A26,'2-DATASET'!A:A,$AG$2))</f>
        <v>0</v>
      </c>
      <c r="T26" s="5">
        <f>(SUMIFS('2-DATASET'!X:X,'2-DATASET'!G:G,'8-Metricas_Avanzadas'!A26,'2-DATASET'!A:A,$AG$2))</f>
        <v>1</v>
      </c>
      <c r="U26" s="5">
        <f>(SUMIFS('2-DATASET'!Y:Y,'2-DATASET'!G:G,'8-Metricas_Avanzadas'!A26,'2-DATASET'!A:A,$AG$2))</f>
        <v>0</v>
      </c>
      <c r="V26" s="5">
        <f>(SUMIFS('2-DATASET'!K:K,'2-DATASET'!I:I,"Dunk",'2-DATASET'!G:G,'8-Metricas_Avanzadas'!A26,'2-DATASET'!A:A,$AG$2))/2</f>
        <v>0</v>
      </c>
      <c r="W26" s="5">
        <f>(SUMIFS('2-DATASET'!Z:Z,'2-DATASET'!G:G,'8-Metricas_Avanzadas'!A26,'2-DATASET'!A:A,$AG$2))</f>
        <v>0</v>
      </c>
      <c r="X26" s="5">
        <f>(SUMIFS('2-DATASET'!AA:AA,'2-DATASET'!G:G,'8-Metricas_Avanzadas'!A26,'2-DATASET'!A:A,$AG$2))</f>
        <v>0</v>
      </c>
      <c r="Y26" s="5">
        <f t="shared" si="5"/>
        <v>0</v>
      </c>
      <c r="Z26" s="55">
        <f t="shared" si="6"/>
        <v>0</v>
      </c>
      <c r="AA26" s="55">
        <f t="shared" si="7"/>
        <v>0</v>
      </c>
      <c r="AB26" s="56">
        <f t="shared" si="8"/>
        <v>0</v>
      </c>
      <c r="AC26" s="56">
        <f t="shared" si="12"/>
        <v>1</v>
      </c>
      <c r="AD26" s="56">
        <f t="shared" si="15"/>
        <v>0</v>
      </c>
      <c r="AE26" s="58"/>
      <c r="AF26" s="34">
        <f t="shared" si="16"/>
        <v>5.6053811659192827E-2</v>
      </c>
    </row>
    <row r="27" spans="1:33" x14ac:dyDescent="0.35">
      <c r="A27" s="3" t="s">
        <v>39</v>
      </c>
      <c r="B27" s="3" t="s">
        <v>40</v>
      </c>
      <c r="C27" s="12">
        <f>SUMIFS('2-DATASET'!AE:AE,'2-DATASET'!G:G,'8-Metricas_Avanzadas'!A27,'2-DATASET'!A:A,$AG$2)</f>
        <v>3.9930555555555552E-3</v>
      </c>
      <c r="D27" s="5">
        <f>SUMIFS('2-DATASET'!M:M,'2-DATASET'!G:G,'8-Metricas_Avanzadas'!A27,'2-DATASET'!A:A,$AG$2)</f>
        <v>2</v>
      </c>
      <c r="E27" s="5">
        <f>(SUMIFS('2-DATASET'!K:K,'2-DATASET'!K:K,2,'2-DATASET'!L:L,1,'2-DATASET'!G:G,'8-Metricas_Avanzadas'!A27,'2-DATASET'!A:A,$AG$2))/2</f>
        <v>1</v>
      </c>
      <c r="F27" s="5">
        <f>(SUMIFS('2-DATASET'!K:K,'2-DATASET'!K:K,2,'2-DATASET'!G:G,'8-Metricas_Avanzadas'!A27,'2-DATASET'!A:A,$AG$2))/2</f>
        <v>1</v>
      </c>
      <c r="G27" s="34">
        <f t="shared" si="1"/>
        <v>1</v>
      </c>
      <c r="H27" s="5">
        <f>(SUMIFS('2-DATASET'!K:K,'2-DATASET'!K:K,3,'2-DATASET'!L:L,1,'2-DATASET'!G:G,'8-Metricas_Avanzadas'!A27,'2-DATASET'!A:A,$AG$2))/3</f>
        <v>0</v>
      </c>
      <c r="I27" s="5">
        <f>(SUMIFS('2-DATASET'!K:K,'2-DATASET'!K:K,3,'2-DATASET'!G:G,'8-Metricas_Avanzadas'!A27,'2-DATASET'!A:A,$AG$2))/3</f>
        <v>0</v>
      </c>
      <c r="J27" s="34">
        <f t="shared" si="2"/>
        <v>0</v>
      </c>
      <c r="K27" s="5">
        <f>(SUMIFS('2-DATASET'!K:K,'2-DATASET'!K:K,1,'2-DATASET'!L:L,1,'2-DATASET'!G:G,'8-Metricas_Avanzadas'!A27,'2-DATASET'!A:A,$AG$2))/1</f>
        <v>0</v>
      </c>
      <c r="L27" s="5">
        <f>(SUMIFS('2-DATASET'!K:K,'2-DATASET'!K:K,1,'2-DATASET'!G:G,'8-Metricas_Avanzadas'!A27,'2-DATASET'!A:A,$AG$2))/1</f>
        <v>0</v>
      </c>
      <c r="M27" s="34">
        <f t="shared" si="3"/>
        <v>0</v>
      </c>
      <c r="N27" s="5">
        <f>(SUMIFS('2-DATASET'!T:T,'2-DATASET'!G:G,'8-Metricas_Avanzadas'!A27,'2-DATASET'!A:A,$AG$2))</f>
        <v>0</v>
      </c>
      <c r="O27" s="5">
        <f>(SUMIFS('2-DATASET'!S:S,'2-DATASET'!G:G,'8-Metricas_Avanzadas'!A27,'2-DATASET'!A:A,$AG$2))</f>
        <v>1</v>
      </c>
      <c r="P27" s="5">
        <f t="shared" si="4"/>
        <v>1</v>
      </c>
      <c r="Q27" s="5">
        <f>(SUMIFS('2-DATASET'!U:U,'2-DATASET'!G:G,'8-Metricas_Avanzadas'!A27,'2-DATASET'!A:A,$AG$2))</f>
        <v>1</v>
      </c>
      <c r="R27" s="5">
        <f>(SUMIFS('2-DATASET'!V:V,'2-DATASET'!G:G,'8-Metricas_Avanzadas'!A27,'2-DATASET'!A:A,$AG$2))</f>
        <v>1</v>
      </c>
      <c r="S27" s="5">
        <f>(SUMIFS('2-DATASET'!W:W,'2-DATASET'!G:G,'8-Metricas_Avanzadas'!A27,'2-DATASET'!A:A,$AG$2))</f>
        <v>2</v>
      </c>
      <c r="T27" s="5">
        <f>(SUMIFS('2-DATASET'!X:X,'2-DATASET'!G:G,'8-Metricas_Avanzadas'!A27,'2-DATASET'!A:A,$AG$2))</f>
        <v>0</v>
      </c>
      <c r="U27" s="5">
        <f>(SUMIFS('2-DATASET'!Y:Y,'2-DATASET'!G:G,'8-Metricas_Avanzadas'!A27,'2-DATASET'!A:A,$AG$2))</f>
        <v>0</v>
      </c>
      <c r="V27" s="5">
        <f>(SUMIFS('2-DATASET'!K:K,'2-DATASET'!I:I,"Dunk",'2-DATASET'!G:G,'8-Metricas_Avanzadas'!A27,'2-DATASET'!A:A,$AG$2))/2</f>
        <v>0</v>
      </c>
      <c r="W27" s="5">
        <f>(SUMIFS('2-DATASET'!Z:Z,'2-DATASET'!G:G,'8-Metricas_Avanzadas'!A27,'2-DATASET'!A:A,$AG$2))</f>
        <v>0</v>
      </c>
      <c r="X27" s="5">
        <f>(SUMIFS('2-DATASET'!AA:AA,'2-DATASET'!G:G,'8-Metricas_Avanzadas'!A27,'2-DATASET'!A:A,$AG$2))</f>
        <v>0</v>
      </c>
      <c r="Y27" s="5">
        <f t="shared" si="5"/>
        <v>5</v>
      </c>
      <c r="Z27" s="55">
        <f t="shared" si="6"/>
        <v>1</v>
      </c>
      <c r="AA27" s="55">
        <f t="shared" si="7"/>
        <v>1</v>
      </c>
      <c r="AB27" s="56">
        <f t="shared" si="8"/>
        <v>2</v>
      </c>
      <c r="AC27" s="56">
        <f t="shared" si="12"/>
        <v>1</v>
      </c>
      <c r="AD27" s="56">
        <f t="shared" si="15"/>
        <v>2</v>
      </c>
      <c r="AE27" s="58"/>
      <c r="AF27" s="34">
        <f t="shared" si="16"/>
        <v>5.6053811659192827E-2</v>
      </c>
    </row>
    <row r="28" spans="1:33" x14ac:dyDescent="0.35">
      <c r="A28" s="3" t="s">
        <v>41</v>
      </c>
      <c r="B28" s="3" t="s">
        <v>42</v>
      </c>
      <c r="C28" s="12">
        <f>SUMIFS('2-DATASET'!AE:AE,'2-DATASET'!G:G,'8-Metricas_Avanzadas'!A28,'2-DATASET'!A:A,$AG$2)</f>
        <v>3.9930555555555552E-3</v>
      </c>
      <c r="D28" s="5">
        <f>SUMIFS('2-DATASET'!M:M,'2-DATASET'!G:G,'8-Metricas_Avanzadas'!A28,'2-DATASET'!A:A,$AG$2)</f>
        <v>0</v>
      </c>
      <c r="E28" s="5">
        <f>(SUMIFS('2-DATASET'!K:K,'2-DATASET'!K:K,2,'2-DATASET'!L:L,1,'2-DATASET'!G:G,'8-Metricas_Avanzadas'!A28,'2-DATASET'!A:A,$AG$2))/2</f>
        <v>0</v>
      </c>
      <c r="F28" s="5">
        <f>(SUMIFS('2-DATASET'!K:K,'2-DATASET'!K:K,2,'2-DATASET'!G:G,'8-Metricas_Avanzadas'!A28,'2-DATASET'!A:A,$AG$2))/2</f>
        <v>0</v>
      </c>
      <c r="G28" s="34">
        <f t="shared" si="1"/>
        <v>0</v>
      </c>
      <c r="H28" s="5">
        <f>(SUMIFS('2-DATASET'!K:K,'2-DATASET'!K:K,3,'2-DATASET'!L:L,1,'2-DATASET'!G:G,'8-Metricas_Avanzadas'!A28,'2-DATASET'!A:A,$AG$2))/3</f>
        <v>0</v>
      </c>
      <c r="I28" s="5">
        <f>(SUMIFS('2-DATASET'!K:K,'2-DATASET'!K:K,3,'2-DATASET'!G:G,'8-Metricas_Avanzadas'!A28,'2-DATASET'!A:A,$AG$2))/3</f>
        <v>0</v>
      </c>
      <c r="J28" s="34">
        <f t="shared" si="2"/>
        <v>0</v>
      </c>
      <c r="K28" s="5">
        <f>(SUMIFS('2-DATASET'!K:K,'2-DATASET'!K:K,1,'2-DATASET'!L:L,1,'2-DATASET'!G:G,'8-Metricas_Avanzadas'!A28,'2-DATASET'!A:A,$AG$2))/1</f>
        <v>0</v>
      </c>
      <c r="L28" s="5">
        <f>(SUMIFS('2-DATASET'!K:K,'2-DATASET'!K:K,1,'2-DATASET'!G:G,'8-Metricas_Avanzadas'!A28,'2-DATASET'!A:A,$AG$2))/1</f>
        <v>0</v>
      </c>
      <c r="M28" s="34">
        <f t="shared" si="3"/>
        <v>0</v>
      </c>
      <c r="N28" s="5">
        <f>(SUMIFS('2-DATASET'!T:T,'2-DATASET'!G:G,'8-Metricas_Avanzadas'!A28,'2-DATASET'!A:A,$AG$2))</f>
        <v>0</v>
      </c>
      <c r="O28" s="5">
        <f>(SUMIFS('2-DATASET'!S:S,'2-DATASET'!G:G,'8-Metricas_Avanzadas'!A28,'2-DATASET'!A:A,$AG$2))</f>
        <v>0</v>
      </c>
      <c r="P28" s="5">
        <f t="shared" si="4"/>
        <v>0</v>
      </c>
      <c r="Q28" s="5">
        <f>(SUMIFS('2-DATASET'!U:U,'2-DATASET'!G:G,'8-Metricas_Avanzadas'!A28,'2-DATASET'!A:A,$AG$2))</f>
        <v>1</v>
      </c>
      <c r="R28" s="5">
        <f>(SUMIFS('2-DATASET'!V:V,'2-DATASET'!G:G,'8-Metricas_Avanzadas'!A28,'2-DATASET'!A:A,$AG$2))</f>
        <v>0</v>
      </c>
      <c r="S28" s="5">
        <f>(SUMIFS('2-DATASET'!W:W,'2-DATASET'!G:G,'8-Metricas_Avanzadas'!A28,'2-DATASET'!A:A,$AG$2))</f>
        <v>0</v>
      </c>
      <c r="T28" s="5">
        <f>(SUMIFS('2-DATASET'!X:X,'2-DATASET'!G:G,'8-Metricas_Avanzadas'!A28,'2-DATASET'!A:A,$AG$2))</f>
        <v>0</v>
      </c>
      <c r="U28" s="5">
        <f>(SUMIFS('2-DATASET'!Y:Y,'2-DATASET'!G:G,'8-Metricas_Avanzadas'!A28,'2-DATASET'!A:A,$AG$2))</f>
        <v>0</v>
      </c>
      <c r="V28" s="5">
        <f>(SUMIFS('2-DATASET'!K:K,'2-DATASET'!I:I,"Dunk",'2-DATASET'!G:G,'8-Metricas_Avanzadas'!A28,'2-DATASET'!A:A,$AG$2))/2</f>
        <v>0</v>
      </c>
      <c r="W28" s="5">
        <f>(SUMIFS('2-DATASET'!Z:Z,'2-DATASET'!G:G,'8-Metricas_Avanzadas'!A28,'2-DATASET'!A:A,$AG$2))</f>
        <v>0</v>
      </c>
      <c r="X28" s="5">
        <f>(SUMIFS('2-DATASET'!AA:AA,'2-DATASET'!G:G,'8-Metricas_Avanzadas'!A28,'2-DATASET'!A:A,$AG$2))</f>
        <v>0</v>
      </c>
      <c r="Y28" s="5">
        <f t="shared" si="5"/>
        <v>1</v>
      </c>
      <c r="Z28" s="55">
        <f t="shared" si="6"/>
        <v>0</v>
      </c>
      <c r="AA28" s="55">
        <f t="shared" si="7"/>
        <v>0</v>
      </c>
      <c r="AB28" s="56">
        <f t="shared" si="8"/>
        <v>0</v>
      </c>
      <c r="AC28" s="56">
        <f t="shared" si="12"/>
        <v>0</v>
      </c>
      <c r="AD28" s="56">
        <f t="shared" si="15"/>
        <v>0</v>
      </c>
      <c r="AE28" s="58"/>
      <c r="AF28" s="34">
        <f t="shared" si="16"/>
        <v>0</v>
      </c>
    </row>
    <row r="29" spans="1:33" ht="15" thickBot="1" x14ac:dyDescent="0.4">
      <c r="A29" s="3" t="s">
        <v>43</v>
      </c>
      <c r="B29" s="3" t="s">
        <v>44</v>
      </c>
      <c r="C29" s="12">
        <f>SUMIFS('2-DATASET'!AE:AE,'2-DATASET'!G:G,'8-Metricas_Avanzadas'!A29,'2-DATASET'!A:A,$AG$2)</f>
        <v>1.5509259259259259E-3</v>
      </c>
      <c r="D29" s="5">
        <f>SUMIFS('2-DATASET'!M:M,'2-DATASET'!G:G,'8-Metricas_Avanzadas'!A29,'2-DATASET'!A:A,$AG$2)</f>
        <v>2</v>
      </c>
      <c r="E29" s="5">
        <f>(SUMIFS('2-DATASET'!K:K,'2-DATASET'!K:K,2,'2-DATASET'!L:L,1,'2-DATASET'!G:G,'8-Metricas_Avanzadas'!A29,'2-DATASET'!A:A,$AG$2))/2</f>
        <v>1</v>
      </c>
      <c r="F29" s="5">
        <f>(SUMIFS('2-DATASET'!K:K,'2-DATASET'!K:K,2,'2-DATASET'!G:G,'8-Metricas_Avanzadas'!A29,'2-DATASET'!A:A,$AG$2))/2</f>
        <v>1</v>
      </c>
      <c r="G29" s="34">
        <f t="shared" si="1"/>
        <v>1</v>
      </c>
      <c r="H29" s="5">
        <f>(SUMIFS('2-DATASET'!K:K,'2-DATASET'!K:K,3,'2-DATASET'!L:L,1,'2-DATASET'!G:G,'8-Metricas_Avanzadas'!A29,'2-DATASET'!A:A,$AG$2))/3</f>
        <v>0</v>
      </c>
      <c r="I29" s="5">
        <f>(SUMIFS('2-DATASET'!K:K,'2-DATASET'!K:K,3,'2-DATASET'!G:G,'8-Metricas_Avanzadas'!A29,'2-DATASET'!A:A,$AG$2))/3</f>
        <v>0</v>
      </c>
      <c r="J29" s="34">
        <f t="shared" si="2"/>
        <v>0</v>
      </c>
      <c r="K29" s="5">
        <f>(SUMIFS('2-DATASET'!K:K,'2-DATASET'!K:K,1,'2-DATASET'!L:L,1,'2-DATASET'!G:G,'8-Metricas_Avanzadas'!A29,'2-DATASET'!A:A,$AG$2))/1</f>
        <v>0</v>
      </c>
      <c r="L29" s="5">
        <f>(SUMIFS('2-DATASET'!K:K,'2-DATASET'!K:K,1,'2-DATASET'!G:G,'8-Metricas_Avanzadas'!A29,'2-DATASET'!A:A,$AG$2))/1</f>
        <v>0</v>
      </c>
      <c r="M29" s="34">
        <f t="shared" si="3"/>
        <v>0</v>
      </c>
      <c r="N29" s="5">
        <f>(SUMIFS('2-DATASET'!T:T,'2-DATASET'!G:G,'8-Metricas_Avanzadas'!A29,'2-DATASET'!A:A,$AG$2))</f>
        <v>0</v>
      </c>
      <c r="O29" s="5">
        <f>(SUMIFS('2-DATASET'!S:S,'2-DATASET'!G:G,'8-Metricas_Avanzadas'!A29,'2-DATASET'!A:A,$AG$2))</f>
        <v>0</v>
      </c>
      <c r="P29" s="5">
        <f t="shared" si="4"/>
        <v>0</v>
      </c>
      <c r="Q29" s="5">
        <f>(SUMIFS('2-DATASET'!U:U,'2-DATASET'!G:G,'8-Metricas_Avanzadas'!A29,'2-DATASET'!A:A,$AG$2))</f>
        <v>0</v>
      </c>
      <c r="R29" s="5">
        <f>(SUMIFS('2-DATASET'!V:V,'2-DATASET'!G:G,'8-Metricas_Avanzadas'!A29,'2-DATASET'!A:A,$AG$2))</f>
        <v>0</v>
      </c>
      <c r="S29" s="5">
        <f>(SUMIFS('2-DATASET'!W:W,'2-DATASET'!G:G,'8-Metricas_Avanzadas'!A29,'2-DATASET'!A:A,$AG$2))</f>
        <v>1</v>
      </c>
      <c r="T29" s="5">
        <f>(SUMIFS('2-DATASET'!X:X,'2-DATASET'!G:G,'8-Metricas_Avanzadas'!A29,'2-DATASET'!A:A,$AG$2))</f>
        <v>1</v>
      </c>
      <c r="U29" s="5">
        <f>(SUMIFS('2-DATASET'!Y:Y,'2-DATASET'!G:G,'8-Metricas_Avanzadas'!A29,'2-DATASET'!A:A,$AG$2))</f>
        <v>0</v>
      </c>
      <c r="V29" s="5">
        <f>(SUMIFS('2-DATASET'!K:K,'2-DATASET'!I:I,"Dunk",'2-DATASET'!G:G,'8-Metricas_Avanzadas'!A29,'2-DATASET'!A:A,$AG$2))/2</f>
        <v>0</v>
      </c>
      <c r="W29" s="5">
        <f>(SUMIFS('2-DATASET'!Z:Z,'2-DATASET'!G:G,'8-Metricas_Avanzadas'!A29,'2-DATASET'!A:A,$AG$2))</f>
        <v>0</v>
      </c>
      <c r="X29" s="5">
        <f>(SUMIFS('2-DATASET'!AA:AA,'2-DATASET'!G:G,'8-Metricas_Avanzadas'!A29,'2-DATASET'!A:A,$AG$2))</f>
        <v>0</v>
      </c>
      <c r="Y29" s="5">
        <f t="shared" si="5"/>
        <v>4</v>
      </c>
      <c r="Z29" s="55">
        <f t="shared" si="6"/>
        <v>1</v>
      </c>
      <c r="AA29" s="55">
        <f t="shared" si="7"/>
        <v>1</v>
      </c>
      <c r="AB29" s="56">
        <f t="shared" si="8"/>
        <v>2</v>
      </c>
      <c r="AC29" s="56">
        <f t="shared" si="12"/>
        <v>1</v>
      </c>
      <c r="AD29" s="56">
        <f t="shared" si="15"/>
        <v>2</v>
      </c>
      <c r="AE29" s="58"/>
      <c r="AF29" s="34">
        <f t="shared" si="16"/>
        <v>5.6053811659192827E-2</v>
      </c>
    </row>
    <row r="30" spans="1:33" ht="15" thickBot="1" x14ac:dyDescent="0.4">
      <c r="A30" s="26" t="s">
        <v>121</v>
      </c>
      <c r="B30" s="26" t="s">
        <v>124</v>
      </c>
      <c r="C30" s="37"/>
      <c r="D30" s="36">
        <f>SUMIFS('2-DATASET'!M:M,'2-DATASET'!G:G,'8-Metricas_Avanzadas'!A30,'2-DATASET'!A:A,$AG$2)</f>
        <v>0</v>
      </c>
      <c r="E30" s="36">
        <f>(SUMIFS('2-DATASET'!K:K,'2-DATASET'!K:K,2,'2-DATASET'!L:L,1,'2-DATASET'!G:G,'8-Metricas_Avanzadas'!A30,'2-DATASET'!A:A,$AG$2))/2</f>
        <v>0</v>
      </c>
      <c r="F30" s="36">
        <f>(SUMIFS('2-DATASET'!K:K,'2-DATASET'!K:K,2,'2-DATASET'!G:G,'8-Metricas_Avanzadas'!A30,'2-DATASET'!A:A,$AG$2))/2</f>
        <v>0</v>
      </c>
      <c r="G30" s="38">
        <f t="shared" si="1"/>
        <v>0</v>
      </c>
      <c r="H30" s="36">
        <f>(SUMIFS('2-DATASET'!K:K,'2-DATASET'!K:K,3,'2-DATASET'!L:L,1,'2-DATASET'!G:G,'8-Metricas_Avanzadas'!A30,'2-DATASET'!A:A,$AG$2))/3</f>
        <v>0</v>
      </c>
      <c r="I30" s="36">
        <f>(SUMIFS('2-DATASET'!K:K,'2-DATASET'!K:K,3,'2-DATASET'!G:G,'8-Metricas_Avanzadas'!A30,'2-DATASET'!A:A,$AG$2))/3</f>
        <v>0</v>
      </c>
      <c r="J30" s="38">
        <f t="shared" si="2"/>
        <v>0</v>
      </c>
      <c r="K30" s="36">
        <f>(SUMIFS('2-DATASET'!K:K,'2-DATASET'!K:K,1,'2-DATASET'!L:L,1,'2-DATASET'!G:G,'8-Metricas_Avanzadas'!A30,'2-DATASET'!A:A,$AG$2))/1</f>
        <v>0</v>
      </c>
      <c r="L30" s="36">
        <f>(SUMIFS('2-DATASET'!K:K,'2-DATASET'!K:K,1,'2-DATASET'!G:G,'8-Metricas_Avanzadas'!A30,'2-DATASET'!A:A,$AG$2))/1</f>
        <v>0</v>
      </c>
      <c r="M30" s="38">
        <f t="shared" si="3"/>
        <v>0</v>
      </c>
      <c r="N30" s="36">
        <f>(SUMIFS('2-DATASET'!T:T,'2-DATASET'!G:G,'8-Metricas_Avanzadas'!A30,'2-DATASET'!A:A,$AG$2))</f>
        <v>0</v>
      </c>
      <c r="O30" s="36">
        <f>(SUMIFS('2-DATASET'!S:S,'2-DATASET'!G:G,'8-Metricas_Avanzadas'!A30,'2-DATASET'!A:A,$AG$2))</f>
        <v>1</v>
      </c>
      <c r="P30" s="36">
        <f t="shared" si="4"/>
        <v>1</v>
      </c>
      <c r="Q30" s="36">
        <f>(SUMIFS('2-DATASET'!U:U,'2-DATASET'!G:G,'8-Metricas_Avanzadas'!A30,'2-DATASET'!A:A,$AG$2))</f>
        <v>0</v>
      </c>
      <c r="R30" s="36">
        <f>(SUMIFS('2-DATASET'!V:V,'2-DATASET'!G:G,'8-Metricas_Avanzadas'!A30,'2-DATASET'!A:A,$AG$2))</f>
        <v>0</v>
      </c>
      <c r="S30" s="36">
        <f>(SUMIFS('2-DATASET'!W:W,'2-DATASET'!G:G,'8-Metricas_Avanzadas'!A30,'2-DATASET'!A:A,$AG$2))</f>
        <v>0</v>
      </c>
      <c r="T30" s="36">
        <f>(SUMIFS('2-DATASET'!X:X,'2-DATASET'!G:G,'8-Metricas_Avanzadas'!A30,'2-DATASET'!A:A,$AG$2))</f>
        <v>0</v>
      </c>
      <c r="U30" s="36">
        <f>(SUMIFS('2-DATASET'!Y:Y,'2-DATASET'!G:G,'8-Metricas_Avanzadas'!A30,'2-DATASET'!A:A,$AG$2))</f>
        <v>0</v>
      </c>
      <c r="V30" s="36">
        <f>(SUMIFS('2-DATASET'!K:K,'2-DATASET'!I:I,"Dunk",'2-DATASET'!G:G,'8-Metricas_Avanzadas'!A30,'2-DATASET'!A:A,$AG$2))/2</f>
        <v>0</v>
      </c>
      <c r="W30" s="36">
        <f>(SUMIFS('2-DATASET'!Z:Z,'2-DATASET'!G:G,'8-Metricas_Avanzadas'!A30,'2-DATASET'!A:A,$AG$2))</f>
        <v>0</v>
      </c>
      <c r="X30" s="36">
        <f>(SUMIFS('2-DATASET'!AA:AA,'2-DATASET'!G:G,'8-Metricas_Avanzadas'!A30,'2-DATASET'!A:A,$AG$2))</f>
        <v>0</v>
      </c>
      <c r="Y30" s="36">
        <f t="shared" si="5"/>
        <v>1</v>
      </c>
      <c r="Z30" s="55">
        <f t="shared" si="6"/>
        <v>0</v>
      </c>
      <c r="AA30" s="55">
        <f t="shared" si="7"/>
        <v>0</v>
      </c>
      <c r="AB30" s="56">
        <f t="shared" si="8"/>
        <v>0</v>
      </c>
      <c r="AC30" s="56"/>
      <c r="AD30" s="59" t="s">
        <v>194</v>
      </c>
      <c r="AE30" s="60" t="s">
        <v>196</v>
      </c>
      <c r="AF30" s="34">
        <f t="shared" si="16"/>
        <v>0</v>
      </c>
    </row>
    <row r="31" spans="1:33" s="4" customFormat="1" ht="15" thickBot="1" x14ac:dyDescent="0.4">
      <c r="A31" s="26"/>
      <c r="B31" s="26" t="s">
        <v>162</v>
      </c>
      <c r="C31" s="27">
        <f>SUM(C18:C29)</f>
        <v>3.4722222222222224E-2</v>
      </c>
      <c r="D31" s="26">
        <f>SUM(D18:D30)</f>
        <v>27</v>
      </c>
      <c r="E31" s="26">
        <f>SUM(E18:E30)</f>
        <v>9</v>
      </c>
      <c r="F31" s="26">
        <f>SUM(F18:F30)</f>
        <v>12</v>
      </c>
      <c r="G31" s="40">
        <f t="shared" si="1"/>
        <v>0.75</v>
      </c>
      <c r="H31" s="26">
        <f>SUM(H18:H30)</f>
        <v>0</v>
      </c>
      <c r="I31" s="26">
        <f>SUM(I18:I30)</f>
        <v>2</v>
      </c>
      <c r="J31" s="40">
        <f t="shared" si="2"/>
        <v>0</v>
      </c>
      <c r="K31" s="26">
        <f>SUM(K18:K30)</f>
        <v>9</v>
      </c>
      <c r="L31" s="26">
        <f>SUM(L18:L30)</f>
        <v>11</v>
      </c>
      <c r="M31" s="40">
        <f t="shared" si="3"/>
        <v>0.81818181818181823</v>
      </c>
      <c r="N31" s="26">
        <f>SUM(N18:N30)</f>
        <v>2</v>
      </c>
      <c r="O31" s="26">
        <f>SUM(O18:O30)</f>
        <v>3</v>
      </c>
      <c r="P31" s="26">
        <f t="shared" si="4"/>
        <v>5</v>
      </c>
      <c r="Q31" s="26">
        <f t="shared" ref="Q31:X31" si="17">SUM(Q18:Q30)</f>
        <v>5</v>
      </c>
      <c r="R31" s="26">
        <f t="shared" si="17"/>
        <v>4</v>
      </c>
      <c r="S31" s="26">
        <f t="shared" si="17"/>
        <v>4</v>
      </c>
      <c r="T31" s="26">
        <f t="shared" si="17"/>
        <v>2</v>
      </c>
      <c r="U31" s="26">
        <f t="shared" si="17"/>
        <v>1</v>
      </c>
      <c r="V31" s="26">
        <f t="shared" si="17"/>
        <v>1</v>
      </c>
      <c r="W31" s="26">
        <f t="shared" si="17"/>
        <v>7</v>
      </c>
      <c r="X31" s="26">
        <f t="shared" si="17"/>
        <v>7</v>
      </c>
      <c r="Y31" s="26">
        <f>D31+Q31+P31+S31+T31+X31-((F31-E31)+(I31-H31)+(L31-K31)+R31+U31+W31)</f>
        <v>31</v>
      </c>
      <c r="Z31" s="55">
        <f t="shared" si="6"/>
        <v>0.6428571428571429</v>
      </c>
      <c r="AA31" s="55">
        <f t="shared" si="7"/>
        <v>0.71656050955414008</v>
      </c>
      <c r="AB31" s="56">
        <f t="shared" si="8"/>
        <v>1.2857142857142858</v>
      </c>
      <c r="AC31" s="56">
        <f t="shared" si="12"/>
        <v>17.84</v>
      </c>
      <c r="AD31" s="61">
        <f>IF(AC31=0,0,D31/AC31)</f>
        <v>1.5134529147982063</v>
      </c>
      <c r="AE31" s="62">
        <f>D15/AC15</f>
        <v>1.9176136363636367</v>
      </c>
      <c r="AF31" s="34">
        <f t="shared" si="16"/>
        <v>1</v>
      </c>
      <c r="AG31" s="72" t="s">
        <v>211</v>
      </c>
    </row>
    <row r="32" spans="1:33" x14ac:dyDescent="0.35">
      <c r="C32" s="4"/>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EA934-18FF-4039-B9B9-1DB9498A6486}">
  <dimension ref="X2:BC108"/>
  <sheetViews>
    <sheetView tabSelected="1" topLeftCell="P1" zoomScale="28" workbookViewId="0">
      <selection activeCell="K50" sqref="K50"/>
    </sheetView>
  </sheetViews>
  <sheetFormatPr baseColWidth="10" defaultRowHeight="14.5" x14ac:dyDescent="0.35"/>
  <cols>
    <col min="45" max="45" width="17.54296875" customWidth="1"/>
    <col min="46" max="46" width="17.08984375" customWidth="1"/>
  </cols>
  <sheetData>
    <row r="2" spans="45:45" x14ac:dyDescent="0.35">
      <c r="AS2" t="s">
        <v>209</v>
      </c>
    </row>
    <row r="63" spans="44:51" x14ac:dyDescent="0.35">
      <c r="AR63" s="75" t="s">
        <v>210</v>
      </c>
      <c r="AS63" s="75"/>
      <c r="AT63" s="75"/>
      <c r="AU63" s="75"/>
      <c r="AV63" s="75"/>
      <c r="AW63" s="75"/>
      <c r="AX63" s="75"/>
      <c r="AY63" s="75"/>
    </row>
    <row r="65" spans="44:55" x14ac:dyDescent="0.35">
      <c r="AR65" s="76" t="s">
        <v>212</v>
      </c>
      <c r="AS65" s="76"/>
      <c r="AT65" s="76"/>
      <c r="AU65" s="76"/>
      <c r="AV65" s="76"/>
      <c r="AW65" s="76"/>
      <c r="AX65" s="76"/>
      <c r="AY65" s="76"/>
      <c r="AZ65" s="76"/>
      <c r="BA65" s="76"/>
      <c r="BB65" s="76"/>
      <c r="BC65" s="76"/>
    </row>
    <row r="66" spans="44:55" x14ac:dyDescent="0.35">
      <c r="AR66" s="76" t="s">
        <v>213</v>
      </c>
      <c r="AS66" s="76"/>
      <c r="AT66" s="76"/>
      <c r="AU66" s="76"/>
      <c r="AV66" s="76"/>
      <c r="AW66" s="76"/>
      <c r="AX66" s="76"/>
      <c r="AY66" s="76"/>
      <c r="AZ66" s="76"/>
      <c r="BA66" s="76"/>
      <c r="BB66" s="76"/>
      <c r="BC66" s="76"/>
    </row>
    <row r="82" spans="24:47" x14ac:dyDescent="0.35">
      <c r="X82" s="75" t="s">
        <v>207</v>
      </c>
      <c r="Y82" s="75"/>
      <c r="Z82" s="75"/>
      <c r="AA82" s="75"/>
      <c r="AB82" s="75"/>
      <c r="AC82" s="75"/>
      <c r="AD82" s="75"/>
      <c r="AE82" s="75"/>
      <c r="AF82" s="75"/>
    </row>
    <row r="94" spans="24:47" x14ac:dyDescent="0.35">
      <c r="AR94" s="70" t="s">
        <v>1</v>
      </c>
      <c r="AS94" s="70" t="s">
        <v>214</v>
      </c>
      <c r="AT94" s="70" t="s">
        <v>3</v>
      </c>
    </row>
    <row r="95" spans="24:47" x14ac:dyDescent="0.35">
      <c r="AR95" s="74" t="s">
        <v>46</v>
      </c>
      <c r="AS95" s="74" t="s">
        <v>69</v>
      </c>
      <c r="AT95" s="2" t="s">
        <v>80</v>
      </c>
    </row>
    <row r="96" spans="24:47" x14ac:dyDescent="0.35">
      <c r="AU96" s="70"/>
    </row>
    <row r="97" spans="44:46" x14ac:dyDescent="0.35">
      <c r="AR97" s="73" t="s">
        <v>16</v>
      </c>
      <c r="AS97" s="73" t="s">
        <v>39</v>
      </c>
      <c r="AT97" s="3" t="s">
        <v>40</v>
      </c>
    </row>
    <row r="98" spans="44:46" x14ac:dyDescent="0.35">
      <c r="AR98" s="73"/>
      <c r="AS98" s="73" t="s">
        <v>43</v>
      </c>
      <c r="AT98" s="3" t="s">
        <v>44</v>
      </c>
    </row>
    <row r="100" spans="44:46" x14ac:dyDescent="0.35">
      <c r="AR100" t="s">
        <v>215</v>
      </c>
    </row>
    <row r="101" spans="44:46" x14ac:dyDescent="0.35">
      <c r="AR101" t="s">
        <v>216</v>
      </c>
    </row>
    <row r="106" spans="44:46" x14ac:dyDescent="0.35">
      <c r="AS106" s="5"/>
      <c r="AT106" s="5"/>
    </row>
    <row r="107" spans="44:46" x14ac:dyDescent="0.35">
      <c r="AS107" s="5"/>
      <c r="AT107" s="5"/>
    </row>
    <row r="108" spans="44:46" x14ac:dyDescent="0.35">
      <c r="AS108" s="5"/>
      <c r="AT108" s="5"/>
    </row>
  </sheetData>
  <mergeCells count="4">
    <mergeCell ref="AR63:AY63"/>
    <mergeCell ref="X82:AF82"/>
    <mergeCell ref="AR65:BC65"/>
    <mergeCell ref="AR66:BC66"/>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1-Players</vt:lpstr>
      <vt:lpstr>2-DATASET</vt:lpstr>
      <vt:lpstr>3-Mins_Played_1Q</vt:lpstr>
      <vt:lpstr>4-BOXSCORE_1Q</vt:lpstr>
      <vt:lpstr>5-BOXSCORE_FULL_GAME</vt:lpstr>
      <vt:lpstr>6-MARCADOR_1Q</vt:lpstr>
      <vt:lpstr>7-MARCADOR_FINAL</vt:lpstr>
      <vt:lpstr>8-Metricas_Avanzadas</vt:lpstr>
      <vt:lpstr>9-Dashboard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Gomez Villamayor</dc:creator>
  <cp:lastModifiedBy>Pablo Gómez Villamayor</cp:lastModifiedBy>
  <dcterms:created xsi:type="dcterms:W3CDTF">2015-06-05T18:19:34Z</dcterms:created>
  <dcterms:modified xsi:type="dcterms:W3CDTF">2026-01-10T02:18:15Z</dcterms:modified>
</cp:coreProperties>
</file>